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a455b6aaab48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474e5ca4fd14550"/>
    <x:sheet xmlns:r="http://schemas.openxmlformats.org/officeDocument/2006/relationships" name="Key Findings" sheetId="2" r:id="R23699892eb534836"/>
    <x:sheet xmlns:r="http://schemas.openxmlformats.org/officeDocument/2006/relationships" name="Metrics" sheetId="3" r:id="R8ff54623555b473d"/>
    <x:sheet xmlns:r="http://schemas.openxmlformats.org/officeDocument/2006/relationships" name="Source Data" sheetId="4" r:id="Ra7dab8cf1e2048dc"/>
    <x:sheet xmlns:r="http://schemas.openxmlformats.org/officeDocument/2006/relationships" name="Method Notes" sheetId="5" r:id="R2846e45a6b614e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20"/>
      <x:color rgb="FFFFFFFF"/>
      <x:name val="Carlito"/>
    </x:font>
    <x:font>
      <x:i/>
      <x:sz val="11"/>
      <x:color rgb="FF1E293B"/>
      <x:name val="Carlito"/>
    </x:font>
    <x:font>
      <x:b/>
      <x:sz val="13"/>
      <x:color rgb="FF16324F"/>
      <x:name val="Carlito"/>
    </x:font>
    <x:font>
      <x:b/>
      <x:sz val="13"/>
      <x:color rgb="FFFFFFFF"/>
      <x:name val="Carlito"/>
    </x:font>
    <x:font>
      <x:b/>
      <x:sz val="11"/>
      <x:color rgb="FF16324F"/>
      <x:name val="Carlito"/>
    </x:font>
    <x:font>
      <x:b/>
      <x:sz val="18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1F6F78"/>
      </x:patternFill>
    </x:fill>
    <x:fill>
      <x:patternFill patternType="solid">
        <x:fgColor rgb="FFEAF2F8"/>
      </x:patternFill>
    </x:fill>
    <x:fill>
      <x:patternFill patternType="solid">
        <x:fgColor rgb="FFE7F3F2"/>
      </x:patternFill>
    </x:fill>
    <x:fill>
      <x:patternFill patternType="solid">
        <x:fgColor rgb="FFFFF4DE"/>
      </x:patternFill>
    </x:fill>
    <x:fill>
      <x:patternFill patternType="solid">
        <x:fgColor rgb="FFFFFFFF"/>
      </x:patternFill>
    </x:fill>
    <x:fill>
      <x:patternFill patternType="solid">
        <x:fgColor rgb="FFF3F5F7"/>
      </x:patternFill>
    </x:fill>
    <x:fill>
      <x:patternFill patternType="solid">
        <x:fgColor rgb="FFC97A18"/>
      </x:patternFill>
    </x:fill>
  </x:fills>
  <x:borders count="18">
    <x:border/>
    <x:border/>
    <x:border>
      <x:left style="thin">
        <x:color rgb="FFD9E1E8"/>
      </x:left>
      <x:top style="thin">
        <x:color rgb="FFD9E1E8"/>
      </x:top>
    </x:border>
    <x:border>
      <x:top style="thin">
        <x:color rgb="FFD9E1E8"/>
      </x:top>
    </x:border>
    <x:border>
      <x:right style="thin">
        <x:color rgb="FFD9E1E8"/>
      </x:right>
      <x:top style="thin">
        <x:color rgb="FFD9E1E8"/>
      </x:top>
    </x:border>
    <x:border>
      <x:left style="thin">
        <x:color rgb="FFD9E1E8"/>
      </x:left>
    </x:border>
    <x:border>
      <x:right style="thin">
        <x:color rgb="FFD9E1E8"/>
      </x:right>
    </x:border>
    <x:border>
      <x:left style="thin">
        <x:color rgb="FFD9E1E8"/>
      </x:left>
      <x:bottom style="thin">
        <x:color rgb="FFD9E1E8"/>
      </x:bottom>
    </x:border>
    <x:border>
      <x:bottom style="thin">
        <x:color rgb="FFD9E1E8"/>
      </x:bottom>
    </x:border>
    <x:border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top style="thin">
        <x:color rgb="FFD9E1E8"/>
      </x:top>
    </x:border>
    <x:border>
      <x:top style="thin">
        <x:color rgb="FFD9E1E8"/>
      </x:top>
    </x:border>
    <x:border>
      <x:right style="thin">
        <x:color rgb="FFD9E1E8"/>
      </x:right>
      <x:top style="thin">
        <x:color rgb="FFD9E1E8"/>
      </x:top>
    </x:border>
    <x:border>
      <x:left style="thin">
        <x:color rgb="FFD9E1E8"/>
      </x:left>
    </x:border>
    <x:border>
      <x:right style="thin">
        <x:color rgb="FFD9E1E8"/>
      </x:right>
    </x:border>
    <x:border>
      <x:left style="thin">
        <x:color rgb="FFD9E1E8"/>
      </x:left>
      <x:bottom style="thin">
        <x:color rgb="FFD9E1E8"/>
      </x:bottom>
    </x:border>
    <x:border>
      <x:bottom style="thin">
        <x:color rgb="FFD9E1E8"/>
      </x:bottom>
    </x:border>
    <x:border>
      <x:right style="thin">
        <x:color rgb="FFD9E1E8"/>
      </x:right>
      <x:bottom style="thin">
        <x:color rgb="FFD9E1E8"/>
      </x:bottom>
    </x:border>
  </x:borders>
  <x:cellStyleXfs count="1">
    <x:xf numFmtId="0" fontId="0" fillId="0" borderId="0"/>
  </x:cellStyleXfs>
  <x:cellXfs count="1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3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horizontal="center" wrapText="1"/>
    </x:xf>
    <x:xf numFmtId="0" fontId="5" fillId="5" borderId="3" xfId="0" applyNumberFormat="1" applyFont="1" applyFill="1" applyBorder="1" applyAlignment="1">
      <x:alignment horizontal="center" wrapText="1"/>
    </x:xf>
    <x:xf numFmtId="0" fontId="5" fillId="5" borderId="4" xfId="0" applyNumberFormat="1" applyFont="1" applyFill="1" applyBorder="1" applyAlignment="1">
      <x:alignment horizontal="center" wrapText="1"/>
    </x:xf>
    <x:xf numFmtId="0" fontId="5" fillId="5" borderId="5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6" xfId="0" applyNumberFormat="1" applyFont="1" applyFill="1" applyBorder="1" applyAlignment="1">
      <x:alignment horizontal="center" wrapText="1"/>
    </x:xf>
    <x:xf numFmtId="0" fontId="5" fillId="5" borderId="7" xfId="0" applyNumberFormat="1" applyFont="1" applyFill="1" applyBorder="1" applyAlignment="1">
      <x:alignment horizontal="center" wrapText="1"/>
    </x:xf>
    <x:xf numFmtId="0" fontId="5" fillId="5" borderId="8" xfId="0" applyNumberFormat="1" applyFont="1" applyFill="1" applyBorder="1" applyAlignment="1">
      <x:alignment horizontal="center" wrapText="1"/>
    </x:xf>
    <x:xf numFmtId="0" fontId="5" fillId="5" borderId="9" xfId="0" applyNumberFormat="1" applyFont="1" applyFill="1" applyBorder="1" applyAlignment="1">
      <x:alignment horizont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5" fillId="5" borderId="7" xfId="0" applyNumberFormat="1" applyFont="1" applyFill="1" applyBorder="1" applyAlignment="1">
      <x:alignment horizontal="center" vertical="center" wrapText="1"/>
    </x:xf>
    <x:xf numFmtId="0" fontId="5" fillId="5" borderId="8" xfId="0" applyNumberFormat="1" applyFont="1" applyFill="1" applyBorder="1" applyAlignment="1">
      <x:alignment horizontal="center" vertical="center" wrapText="1"/>
    </x:xf>
    <x:xf numFmtId="0" fontId="5" fillId="5" borderId="9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15" xfId="0" applyNumberFormat="1" applyFont="1" applyFill="1" applyBorder="1"/>
    <x:xf numFmtId="0" fontId="5" fillId="5" borderId="16" xfId="0" applyNumberFormat="1" applyFont="1" applyFill="1" applyBorder="1"/>
    <x:xf numFmtId="0" fontId="5" fillId="5" borderId="17" xfId="0" applyNumberFormat="1" applyFont="1" applyFill="1" applyBorder="1"/>
    <x:xf numFmtId="0" fontId="5" fillId="5" borderId="1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0" fontId="5" fillId="5" borderId="15" xfId="0" applyNumberFormat="1" applyFont="1" applyFill="1" applyBorder="1" applyAlignment="1">
      <x:alignment wrapText="1"/>
    </x:xf>
    <x:xf numFmtId="0" fontId="5" fillId="5" borderId="16" xfId="0" applyNumberFormat="1" applyFont="1" applyFill="1" applyBorder="1" applyAlignment="1">
      <x:alignment wrapText="1"/>
    </x:xf>
    <x:xf numFmtId="0" fontId="5" fillId="5" borderId="17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horizontal="center" wrapText="1"/>
    </x:xf>
    <x:xf numFmtId="0" fontId="5" fillId="5" borderId="11" xfId="0" applyNumberFormat="1" applyFont="1" applyFill="1" applyBorder="1" applyAlignment="1">
      <x:alignment horizontal="center" wrapText="1"/>
    </x:xf>
    <x:xf numFmtId="0" fontId="5" fillId="5" borderId="12" xfId="0" applyNumberFormat="1" applyFont="1" applyFill="1" applyBorder="1" applyAlignment="1">
      <x:alignment horizontal="center" wrapText="1"/>
    </x:xf>
    <x:xf numFmtId="0" fontId="5" fillId="5" borderId="13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4" xfId="0" applyNumberFormat="1" applyFont="1" applyFill="1" applyBorder="1" applyAlignment="1">
      <x:alignment horizontal="center" wrapText="1"/>
    </x:xf>
    <x:xf numFmtId="0" fontId="5" fillId="5" borderId="15" xfId="0" applyNumberFormat="1" applyFont="1" applyFill="1" applyBorder="1" applyAlignment="1">
      <x:alignment horizontal="center" wrapText="1"/>
    </x:xf>
    <x:xf numFmtId="0" fontId="5" fillId="5" borderId="16" xfId="0" applyNumberFormat="1" applyFont="1" applyFill="1" applyBorder="1" applyAlignment="1">
      <x:alignment horizontal="center" wrapText="1"/>
    </x:xf>
    <x:xf numFmtId="0" fontId="5" fillId="5" borderId="17" xfId="0" applyNumberFormat="1" applyFont="1" applyFill="1" applyBorder="1" applyAlignment="1">
      <x:alignment horizontal="center" wrapText="1"/>
    </x:xf>
    <x:xf numFmtId="0" fontId="5" fillId="5" borderId="10" xfId="0" applyNumberFormat="1" applyFont="1" applyFill="1" applyBorder="1" applyAlignment="1">
      <x:alignment horizontal="center" vertical="center" wrapText="1"/>
    </x:xf>
    <x:xf numFmtId="0" fontId="5" fillId="5" borderId="11" xfId="0" applyNumberFormat="1" applyFont="1" applyFill="1" applyBorder="1" applyAlignment="1">
      <x:alignment horizontal="center" vertical="center" wrapText="1"/>
    </x:xf>
    <x:xf numFmtId="0" fontId="5" fillId="5" borderId="12" xfId="0" applyNumberFormat="1" applyFont="1" applyFill="1" applyBorder="1" applyAlignment="1">
      <x:alignment horizontal="center" vertical="center" wrapText="1"/>
    </x:xf>
    <x:xf numFmtId="0" fontId="5" fillId="5" borderId="13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5" borderId="14" xfId="0" applyNumberFormat="1" applyFont="1" applyFill="1" applyBorder="1" applyAlignment="1">
      <x:alignment horizontal="center" vertical="center" wrapText="1"/>
    </x:xf>
    <x:xf numFmtId="0" fontId="5" fillId="5" borderId="15" xfId="0" applyNumberFormat="1" applyFont="1" applyFill="1" applyBorder="1" applyAlignment="1">
      <x:alignment horizontal="center" vertical="center" wrapText="1"/>
    </x:xf>
    <x:xf numFmtId="0" fontId="5" fillId="5" borderId="16" xfId="0" applyNumberFormat="1" applyFont="1" applyFill="1" applyBorder="1" applyAlignment="1">
      <x:alignment horizontal="center" vertical="center" wrapText="1"/>
    </x:xf>
    <x:xf numFmtId="0" fontId="5" fillId="5" borderId="17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8" xfId="0" applyNumberFormat="1" applyFont="1" applyFill="1" applyBorder="1"/>
    <x:xf numFmtId="0" fontId="0" fillId="7" borderId="8" xfId="0" applyNumberFormat="1" applyFont="1" applyFill="1" applyBorder="1" applyAlignment="1">
      <x:alignment wrapText="1"/>
    </x:xf>
    <x:xf numFmtId="0" fontId="0" fillId="7" borderId="8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6" xfId="0" applyNumberFormat="1" applyFont="1" applyFill="1" applyBorder="1"/>
    <x:xf numFmtId="0" fontId="0" fillId="7" borderId="16" xfId="0" applyNumberFormat="1" applyFont="1" applyFill="1" applyBorder="1" applyAlignment="1">
      <x:alignment wrapText="1"/>
    </x:xf>
    <x:xf numFmtId="0" fontId="0" fillId="7" borderId="16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0" fillId="8" borderId="8" xfId="0" applyNumberFormat="1" applyFont="1" applyFill="1" applyBorder="1"/>
    <x:xf numFmtId="0" fontId="0" fillId="8" borderId="8" xfId="0" applyNumberFormat="1" applyFont="1" applyFill="1" applyBorder="1" applyAlignment="1">
      <x:alignment wrapText="1"/>
    </x:xf>
    <x:xf numFmtId="0" fontId="0" fillId="8" borderId="8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0" fillId="8" borderId="16" xfId="0" applyNumberFormat="1" applyFont="1" applyFill="1" applyBorder="1"/>
    <x:xf numFmtId="0" fontId="0" fillId="8" borderId="16" xfId="0" applyNumberFormat="1" applyFont="1" applyFill="1" applyBorder="1" applyAlignment="1">
      <x:alignment wrapText="1"/>
    </x:xf>
    <x:xf numFmtId="0" fontId="0" fillId="8" borderId="1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wrapText="1"/>
    </x:xf>
    <x:xf numFmtId="0" fontId="1" fillId="9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8bb4cc2ee44008" /><Relationship Type="http://schemas.openxmlformats.org/officeDocument/2006/relationships/theme" Target="/xl/theme/theme1.xml" Id="R0a115816f6a64807" /><Relationship Type="http://schemas.openxmlformats.org/officeDocument/2006/relationships/sharedStrings" Target="/xl/sharedStrings.xml" Id="R5c773f6fc1ba4676" /><Relationship Type="http://schemas.openxmlformats.org/officeDocument/2006/relationships/worksheet" Target="/xl/worksheets/sheet1.xml" Id="Rd474e5ca4fd14550" /><Relationship Type="http://schemas.openxmlformats.org/officeDocument/2006/relationships/worksheet" Target="/xl/worksheets/sheet2.xml" Id="R23699892eb534836" /><Relationship Type="http://schemas.openxmlformats.org/officeDocument/2006/relationships/worksheet" Target="/xl/worksheets/sheet3.xml" Id="R8ff54623555b473d" /><Relationship Type="http://schemas.openxmlformats.org/officeDocument/2006/relationships/worksheet" Target="/xl/worksheets/sheet4.xml" Id="Ra7dab8cf1e2048dc" /><Relationship Type="http://schemas.openxmlformats.org/officeDocument/2006/relationships/worksheet" Target="/xl/worksheets/sheet5.xml" Id="R2846e45a6b614e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7902c705f0d45c1" /><Relationship Type="http://schemas.openxmlformats.org/officeDocument/2006/relationships/chart" Target="/xl/drawings/charts/chart2.xml" Id="R4af6f9eb231144a3" /><Relationship Type="http://schemas.openxmlformats.org/officeDocument/2006/relationships/chart" Target="/xl/drawings/charts/chart3.xml" Id="Rc38bcf3782dc4c98" /><Relationship Type="http://schemas.openxmlformats.org/officeDocument/2006/relationships/chart" Target="/xl/drawings/charts/chart4.xml" Id="Rc036192c8ce7407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Corpus and B1 review by act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Structural records</c:v>
          </c:tx>
          <c:cat>
            <c:strRef>
              <c:f>'Dashboard'!$N$3:$N$5</c:f>
              <c:strCache>
                <c:ptCount val="0"/>
              </c:strCache>
            </c:strRef>
          </c:cat>
          <c:val>
            <c:numRef>
              <c:f>'Dashboard'!$O$3:$O$5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B1 reviewed</c:v>
          </c:tx>
          <c:cat>
            <c:strRef>
              <c:f>'Dashboard'!$N$3:$N$5</c:f>
              <c:strCache>
                <c:ptCount val="0"/>
              </c:strCache>
            </c:strRef>
          </c:cat>
          <c:val>
            <c:numRef>
              <c:f>'Dashboard'!$P$3:$P$5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B1 defect decisions by act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YES</c:v>
          </c:tx>
          <c:cat>
            <c:strRef>
              <c:f>'Dashboard'!$N$10:$N$12</c:f>
              <c:strCache>
                <c:ptCount val="0"/>
              </c:strCache>
            </c:strRef>
          </c:cat>
          <c:val>
            <c:numRef>
              <c:f>'Dashboard'!$O$10:$O$12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PARTIALLY</c:v>
          </c:tx>
          <c:cat>
            <c:strRef>
              <c:f>'Dashboard'!$N$10:$N$12</c:f>
              <c:strCache>
                <c:ptCount val="0"/>
              </c:strCache>
            </c:strRef>
          </c:cat>
          <c:val>
            <c:numRef>
              <c:f>'Dashboard'!$P$10:$P$12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NO</c:v>
          </c:tx>
          <c:cat>
            <c:strRef>
              <c:f>'Dashboard'!$N$10:$N$12</c:f>
              <c:strCache>
                <c:ptCount val="0"/>
              </c:strCache>
            </c:strRef>
          </c:cat>
          <c:val>
            <c:numRef>
              <c:f>'Dashboard'!$Q$10:$Q$12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Field corrections proposed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Corrections</c:v>
          </c:tx>
          <c:cat>
            <c:strRef>
              <c:f>'Dashboard'!$N$16:$N$20</c:f>
              <c:strCache>
                <c:ptCount val="0"/>
              </c:strCache>
            </c:strRef>
          </c:cat>
          <c:val>
            <c:numRef>
              <c:f>'Dashboard'!$O$16:$O$20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Relational differentiation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'Dashboard'!$N$24:$N$27</c:f>
              <c:strCache>
                <c:ptCount val="0"/>
              </c:strCache>
            </c:strRef>
          </c:cat>
          <c:val>
            <c:numRef>
              <c:f>'Dashboard'!$O$24:$O$27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902c705f0d45c1"/>
        </a:graphicData>
      </a:graphic>
    </xdr:graphicFrame>
    <xdr:clientData/>
  </xdr:twoCellAnchor>
  <xdr:twoCellAnchor>
    <xdr:from>
      <xdr:col>6</xdr:col>
      <xdr:colOff>0</xdr:colOff>
      <xdr:row>10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f6f9eb231144a3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6</xdr:col>
      <xdr:colOff>0</xdr:colOff>
      <xdr:row>37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8bcf3782dc4c98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12</xdr:col>
      <xdr:colOff>0</xdr:colOff>
      <xdr:row>37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36192c8ce7407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DataTable" displayName="SourceDataTable" ref="A1:F44" headerRowCount="1" totalsRowCount="0" totalsRowShown="0">
  <x:tableColumns count="6">
    <x:tableColumn id="1" name="DIMENSION"/>
    <x:tableColumn id="2" name="GDPR"/>
    <x:tableColumn id="3" name="DSA"/>
    <x:tableColumn id="4" name="AI_ACT"/>
    <x:tableColumn id="5" name="TOTAL"/>
    <x:tableColumn id="6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c0cd01385e94d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30bf8f471fbe461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146" t="str">
        <x:v>R4 Digital Structural Validation — Dashboard</x:v>
      </x:c>
      <x:c r="B1" s="146"/>
      <x:c r="C1" s="146"/>
      <x:c r="D1" s="146"/>
      <x:c r="E1" s="146"/>
      <x:c r="F1" s="146"/>
      <x:c r="G1" s="146"/>
      <x:c r="H1" s="146"/>
      <x:c r="I1" s="146"/>
      <x:c r="J1" s="146"/>
      <x:c r="K1" s="146"/>
      <x:c r="L1" s="146"/>
    </x:row>
    <x:row r="2">
      <x:c r="A2" s="146"/>
      <x:c r="B2" s="146"/>
      <x:c r="C2" s="146"/>
      <x:c r="D2" s="146"/>
      <x:c r="E2" s="146"/>
      <x:c r="F2" s="146"/>
      <x:c r="G2" s="146"/>
      <x:c r="H2" s="146"/>
      <x:c r="I2" s="146"/>
      <x:c r="J2" s="146"/>
      <x:c r="K2" s="146"/>
      <x:c r="L2" s="146"/>
      <x:c r="N2" t="str">
        <x:v>Act</x:v>
      </x:c>
      <x:c r="O2" t="str">
        <x:v>Structural records</x:v>
      </x:c>
      <x:c r="P2" t="str">
        <x:v>B1 reviewed</x:v>
      </x:c>
      <x:c r="Q2" t="str">
        <x:v>Review share</x:v>
      </x:c>
    </x:row>
    <x:row r="3">
      <x:c r="A3" s="147" t="str">
        <x:v>GDPR · Digital Services Act · AI Act | Cross-domain validation of the coding architecture</x:v>
      </x:c>
      <x:c r="B3" s="147"/>
      <x:c r="C3" s="147"/>
      <x:c r="D3" s="147"/>
      <x:c r="E3" s="147"/>
      <x:c r="F3" s="147"/>
      <x:c r="G3" s="147"/>
      <x:c r="H3" s="147"/>
      <x:c r="I3" s="147"/>
      <x:c r="J3" s="147"/>
      <x:c r="K3" s="147"/>
      <x:c r="L3" s="147"/>
      <x:c r="N3" t="str">
        <x:v>GDPR</x:v>
      </x:c>
      <x:c r="O3" t="n">
        <x:v>485</x:v>
      </x:c>
      <x:c r="P3" t="n">
        <x:v>69</x:v>
      </x:c>
      <x:c r="Q3" s="24" t="n">
        <x:f>O3/$O$6</x:f>
        <x:v>0.3454415954415954</x:v>
      </x:c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N4" t="str">
        <x:v>DSA</x:v>
      </x:c>
      <x:c r="O4" t="n">
        <x:v>424</x:v>
      </x:c>
      <x:c r="P4" t="n">
        <x:v>49</x:v>
      </x:c>
      <x:c r="Q4" s="24" t="n">
        <x:f>O4/$O$6</x:f>
        <x:v>0.301994301994302</x:v>
      </x:c>
    </x:row>
    <x:row r="5">
      <x:c r="A5" s="70" t="str">
        <x:f>"Structural records"&amp;CHAR(10)&amp;TEXT(=Metrics!E4,"#,##0")&amp;CHAR(10)&amp;"Frozen corpus"</x:f>
        <x:v>Structural records
1,404
Frozen corpus</x:v>
      </x:c>
      <x:c r="B5" s="71"/>
      <x:c r="C5" s="72"/>
      <x:c r="D5" s="70" t="str">
        <x:f>"Advanced-reviewed cases"&amp;CHAR(10)&amp;TEXT(=Metrics!E5,"#,##0")&amp;CHAR(10)&amp;"143-case enriched set"</x:f>
        <x:v>Advanced-reviewed cases
143
143-case enriched set</x:v>
      </x:c>
      <x:c r="E5" s="71"/>
      <x:c r="F5" s="72"/>
      <x:c r="G5" s="70" t="str">
        <x:f>"Adjusted Action corrections"&amp;CHAR(10)&amp;TEXT(=Metrics!B18,"#,##0")&amp;CHAR(10)&amp;"Sensitivity-adjusted"</x:f>
        <x:v>Adjusted Action corrections
63
Sensitivity-adjusted</x:v>
      </x:c>
      <x:c r="H5" s="71"/>
      <x:c r="I5" s="72"/>
      <x:c r="J5" s="70" t="str">
        <x:f>"Potential template coverage"&amp;CHAR(10)&amp;TEXT(=Metrics!B26,"#,##0")&amp;CHAR(10)&amp;"Eligibility ceiling only"</x:f>
        <x:v>Potential template coverage
296
Eligibility ceiling only</x:v>
      </x:c>
      <x:c r="K5" s="71"/>
      <x:c r="L5" s="72"/>
      <x:c r="N5" t="str">
        <x:v>AI Act</x:v>
      </x:c>
      <x:c r="O5" t="n">
        <x:v>495</x:v>
      </x:c>
      <x:c r="P5" t="n">
        <x:v>25</x:v>
      </x:c>
      <x:c r="Q5" s="24" t="n">
        <x:f>O5/$O$6</x:f>
        <x:v>0.3525641025641026</x:v>
      </x:c>
    </x:row>
    <x:row r="6">
      <x:c r="A6" s="73"/>
      <x:c r="B6" s="74"/>
      <x:c r="C6" s="75"/>
      <x:c r="D6" s="73"/>
      <x:c r="E6" s="74"/>
      <x:c r="F6" s="75"/>
      <x:c r="G6" s="73"/>
      <x:c r="H6" s="74"/>
      <x:c r="I6" s="75"/>
      <x:c r="J6" s="73"/>
      <x:c r="K6" s="74"/>
      <x:c r="L6" s="75"/>
      <x:c r="N6" t="str">
        <x:v>Total</x:v>
      </x:c>
      <x:c r="O6" t="n">
        <x:v>1404</x:v>
      </x:c>
      <x:c r="P6" t="n">
        <x:v>143</x:v>
      </x:c>
      <x:c r="Q6" s="24" t="n">
        <x:f>O6/$O$6</x:f>
        <x:v>1</x:v>
      </x:c>
    </x:row>
    <x:row r="7">
      <x:c r="A7" s="76"/>
      <x:c r="B7" s="77"/>
      <x:c r="C7" s="78"/>
      <x:c r="D7" s="76"/>
      <x:c r="E7" s="77"/>
      <x:c r="F7" s="78"/>
      <x:c r="G7" s="76"/>
      <x:c r="H7" s="77"/>
      <x:c r="I7" s="78"/>
      <x:c r="J7" s="76"/>
      <x:c r="K7" s="77"/>
      <x:c r="L7" s="78"/>
    </x:row>
    <x:row r="8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</x:row>
    <x:row r="9">
      <x:c r="A9" s="118" t="str">
        <x:v>Interpretation rule: B1 is purposive/enriched validation. Counts from the 143 reviewed cases are diagnostic and must not be read as corpus-wide prevalence.</x:v>
      </x:c>
      <x:c r="B9" s="118"/>
      <x:c r="C9" s="118"/>
      <x:c r="D9" s="118"/>
      <x:c r="E9" s="118"/>
      <x:c r="F9" s="118"/>
      <x:c r="G9" s="118"/>
      <x:c r="H9" s="118"/>
      <x:c r="I9" s="118"/>
      <x:c r="J9" s="118"/>
      <x:c r="K9" s="118"/>
      <x:c r="L9" s="118"/>
      <x:c r="N9" t="str">
        <x:v>Act</x:v>
      </x:c>
      <x:c r="O9" t="str">
        <x:v>YES</x:v>
      </x:c>
      <x:c r="P9" t="str">
        <x:v>PARTIALLY</x:v>
      </x:c>
      <x:c r="Q9" t="str">
        <x:v>NO</x:v>
      </x:c>
    </x:row>
    <x:row r="10">
      <x:c r="A10" s="10"/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N10" t="str">
        <x:v>GDPR</x:v>
      </x:c>
      <x:c r="O10" t="n">
        <x:v>56</x:v>
      </x:c>
      <x:c r="P10" t="n">
        <x:v>8</x:v>
      </x:c>
      <x:c r="Q10" t="n">
        <x:v>5</x:v>
      </x:c>
    </x:row>
    <x:row r="1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N11" t="str">
        <x:v>DSA</x:v>
      </x:c>
      <x:c r="O11" t="n">
        <x:v>36</x:v>
      </x:c>
      <x:c r="P11" t="n">
        <x:v>5</x:v>
      </x:c>
      <x:c r="Q11" t="n">
        <x:v>8</x:v>
      </x:c>
    </x:row>
    <x:row r="12">
      <x:c r="A12" s="10"/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N12" t="str">
        <x:v>AI Act</x:v>
      </x:c>
      <x:c r="O12" t="n">
        <x:v>19</x:v>
      </x:c>
      <x:c r="P12" t="n">
        <x:v>2</x:v>
      </x:c>
      <x:c r="Q12" t="n">
        <x:v>4</x:v>
      </x:c>
    </x:row>
    <x:row r="13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</x:row>
    <x:row r="15">
      <x:c r="A15" s="10"/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N15" t="str">
        <x:v>Field</x:v>
      </x:c>
      <x:c r="O15" t="str">
        <x:v>Corrections</x:v>
      </x:c>
    </x:row>
    <x:row r="16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N16" t="str">
        <x:v>Actor</x:v>
      </x:c>
      <x:c r="O16" t="n">
        <x:v>47</x:v>
      </x:c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N17" t="str">
        <x:v>Action (adjusted)</x:v>
      </x:c>
      <x:c r="O17" t="n">
        <x:v>63</x:v>
      </x:c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N18" t="str">
        <x:v>Object</x:v>
      </x:c>
      <x:c r="O18" t="n">
        <x:v>83</x:v>
      </x:c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N19" t="str">
        <x:v>Counterpart</x:v>
      </x:c>
      <x:c r="O19" t="n">
        <x:v>88</x:v>
      </x:c>
    </x:row>
    <x:row r="20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N20" t="str">
        <x:v>Recipient</x:v>
      </x:c>
      <x:c r="O20" t="n">
        <x:v>98</x:v>
      </x:c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N23" t="str">
        <x:v>Relational reading</x:v>
      </x:c>
      <x:c r="O23" t="str">
        <x:v>Count</x:v>
      </x:c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N24" t="str">
        <x:v>NEITHER</x:v>
      </x:c>
      <x:c r="O24" t="n">
        <x:v>95</x:v>
      </x:c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N25" t="str">
        <x:v>RECIPIENT_ONLY</x:v>
      </x:c>
      <x:c r="O25" t="n">
        <x:v>27</x:v>
      </x:c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N26" t="str">
        <x:v>COUNTERPART_ONLY</x:v>
      </x:c>
      <x:c r="O26" t="n">
        <x:v>14</x:v>
      </x:c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  <x:c r="N27" t="str">
        <x:v>UNCERTAIN</x:v>
      </x:c>
      <x:c r="O27" t="n">
        <x:v>7</x:v>
      </x:c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</x:row>
    <x:row r="30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  <x:c r="N30" t="str">
        <x:v>Template status</x:v>
      </x:c>
      <x:c r="O30" t="str">
        <x:v>Count</x:v>
      </x:c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N31" t="str">
        <x:v>Validated with conditions</x:v>
      </x:c>
      <x:c r="O31" t="n">
        <x:v>64</x:v>
      </x:c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N32" t="str">
        <x:v>Needs more reps</x:v>
      </x:c>
      <x:c r="O32" t="n">
        <x:v>16</x:v>
      </x:c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N33" t="str">
        <x:v>Human review</x:v>
      </x:c>
      <x:c r="O33" t="n">
        <x:v>9</x:v>
      </x:c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N34" t="str">
        <x:v>Rejected</x:v>
      </x:c>
      <x:c r="O34" t="n">
        <x:v>8</x:v>
      </x:c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</x:row>
    <x:row r="39">
      <x:c r="A39" s="148" t="str">
        <x:v>Variable parsimony — what the validation says</x:v>
      </x:c>
      <x:c r="B39" s="148"/>
      <x:c r="C39" s="148"/>
      <x:c r="D39" s="148"/>
      <x:c r="E39" s="148"/>
      <x:c r="F39" s="148"/>
      <x:c r="G39" s="148"/>
      <x:c r="H39" s="148"/>
      <x:c r="I39" s="148"/>
      <x:c r="J39" s="148"/>
      <x:c r="K39" s="148"/>
      <x:c r="L39" s="148"/>
    </x:row>
    <x:row r="40">
      <x:c r="A40" s="26" t="str">
        <x:v>Variable pair / construct</x:v>
      </x:c>
      <x:c r="B40" s="26"/>
      <x:c r="C40" s="26"/>
      <x:c r="D40" s="26" t="str">
        <x:v>Observed evidence</x:v>
      </x:c>
      <x:c r="E40" s="26"/>
      <x:c r="F40" s="26"/>
      <x:c r="G40" s="26"/>
      <x:c r="H40" s="26"/>
      <x:c r="I40" s="26" t="str">
        <x:v>Current implication</x:v>
      </x:c>
      <x:c r="J40" s="26"/>
      <x:c r="K40" s="26"/>
      <x:c r="L40" s="26"/>
    </x:row>
    <x:row r="41" ht="42" customHeight="1">
      <x:c r="A41" s="127" t="str">
        <x:v>Counterpart / Recipient</x:v>
      </x:c>
      <x:c r="B41" s="127"/>
      <x:c r="C41" s="127"/>
      <x:c r="D41" s="127" t="str">
        <x:v>Original extraction is identical across all 1,404 rows, but advanced reading produced 27 recipient-only and 14 counterpart-only cases.</x:v>
      </x:c>
      <x:c r="E41" s="127"/>
      <x:c r="F41" s="127"/>
      <x:c r="G41" s="127"/>
      <x:c r="H41" s="127"/>
      <x:c r="I41" s="127" t="str">
        <x:v>Retain both for now; redesign extraction/population rule.</x:v>
      </x:c>
      <x:c r="J41" s="127"/>
      <x:c r="K41" s="127"/>
      <x:c r="L41" s="127"/>
    </x:row>
    <x:row r="42" ht="42" customHeight="1">
      <x:c r="A42" s="135" t="str">
        <x:v>Action object / Information-or-material object</x:v>
      </x:c>
      <x:c r="B42" s="135"/>
      <x:c r="C42" s="135"/>
      <x:c r="D42" s="135" t="str">
        <x:v>Exact equality across 1,404/1,404 rows.</x:v>
      </x:c>
      <x:c r="E42" s="135"/>
      <x:c r="F42" s="135"/>
      <x:c r="G42" s="135"/>
      <x:c r="H42" s="135"/>
      <x:c r="I42" s="135" t="str">
        <x:v>Strong redundancy candidate.</x:v>
      </x:c>
      <x:c r="J42" s="135"/>
      <x:c r="K42" s="135"/>
      <x:c r="L42" s="135"/>
    </x:row>
    <x:row r="43" ht="42" customHeight="1">
      <x:c r="A43" s="127" t="str">
        <x:v>Structural ambiguity / Extraction confidence</x:v>
      </x:c>
      <x:c r="B43" s="127"/>
      <x:c r="C43" s="127"/>
      <x:c r="D43" s="127" t="str">
        <x:v>LOW confidence maps to ambiguity=YES; ambiguity=NO splits into HIGH and MEDIUM.</x:v>
      </x:c>
      <x:c r="E43" s="127"/>
      <x:c r="F43" s="127"/>
      <x:c r="G43" s="127"/>
      <x:c r="H43" s="127"/>
      <x:c r="I43" s="127" t="str">
        <x:v>Drop Structural Ambiguity candidate; retain Confidence.</x:v>
      </x:c>
      <x:c r="J43" s="127"/>
      <x:c r="K43" s="127"/>
      <x:c r="L43" s="127"/>
    </x:row>
    <x:row r="44" ht="42" customHeight="1">
      <x:c r="A44" s="135" t="str">
        <x:v>Legal action / Legal verb / Modality</x:v>
      </x:c>
      <x:c r="B44" s="135"/>
      <x:c r="C44" s="135"/>
      <x:c r="D44" s="135" t="str">
        <x:v>Action label is controlled vocabulary; verb and modality carry complementary legal information.</x:v>
      </x:c>
      <x:c r="E44" s="135"/>
      <x:c r="F44" s="135"/>
      <x:c r="G44" s="135"/>
      <x:c r="H44" s="135"/>
      <x:c r="I44" s="135" t="str">
        <x:v>Treat Action as a structured construct, not one field.</x:v>
      </x:c>
      <x:c r="J44" s="135"/>
      <x:c r="K44" s="135"/>
      <x:c r="L44" s="135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</x:row>
    <x:row r="46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</x:row>
    <x:row r="47">
      <x:c r="A47" s="148" t="str">
        <x:v>Method status and guardrails</x:v>
      </x:c>
      <x:c r="B47" s="148"/>
      <x:c r="C47" s="148"/>
      <x:c r="D47" s="148"/>
      <x:c r="E47" s="148"/>
      <x:c r="F47" s="148"/>
      <x:c r="G47" s="148"/>
      <x:c r="H47" s="148"/>
      <x:c r="I47" s="148"/>
      <x:c r="J47" s="148"/>
      <x:c r="K47" s="148"/>
      <x:c r="L47" s="148"/>
    </x:row>
    <x:row r="48" ht="32" customHeight="1">
      <x:c r="A48" s="176" t="str">
        <x:v>Status</x:v>
      </x:c>
      <x:c r="B48" s="174" t="str">
        <x:v>R4 digital structural validation ready for David</x:v>
      </x:c>
      <x:c r="C48" s="174" t="str"/>
      <x:c r="D48" s="174" t="str"/>
      <x:c r="E48" s="174" t="str"/>
      <x:c r="F48" s="174" t="str"/>
      <x:c r="G48" s="174" t="str"/>
      <x:c r="H48" s="174" t="str"/>
      <x:c r="I48" s="174" t="str"/>
      <x:c r="J48" s="174" t="str"/>
      <x:c r="K48" s="174" t="str"/>
      <x:c r="L48" s="174" t="str"/>
    </x:row>
    <x:row r="49" ht="32" customHeight="1">
      <x:c r="A49" s="176" t="str">
        <x:v>Compression gate</x:v>
      </x:c>
      <x:c r="B49" s="174" t="str">
        <x:v>B0_COMPRESSION_REASSESSMENT_REQUIRED — coverage/representativeness issue, not corpus corruption</x:v>
      </x:c>
      <x:c r="C49" s="174" t="str"/>
      <x:c r="D49" s="174" t="str"/>
      <x:c r="E49" s="174" t="str"/>
      <x:c r="F49" s="174" t="str"/>
      <x:c r="G49" s="174" t="str"/>
      <x:c r="H49" s="174" t="str"/>
      <x:c r="I49" s="174" t="str"/>
      <x:c r="J49" s="174" t="str"/>
      <x:c r="K49" s="174" t="str"/>
      <x:c r="L49" s="174" t="str"/>
    </x:row>
    <x:row r="50" ht="32" customHeight="1">
      <x:c r="A50" s="176" t="str">
        <x:v>Not started</x:v>
      </x:c>
      <x:c r="B50" s="174" t="str">
        <x:v>R/I/T coding · mechanism coding · R4.3 · corpus-wide repair</x:v>
      </x:c>
      <x:c r="C50" s="174" t="str"/>
      <x:c r="D50" s="174" t="str"/>
      <x:c r="E50" s="174" t="str"/>
      <x:c r="F50" s="174" t="str"/>
      <x:c r="G50" s="174" t="str"/>
      <x:c r="H50" s="174" t="str"/>
      <x:c r="I50" s="174" t="str"/>
      <x:c r="J50" s="174" t="str"/>
      <x:c r="K50" s="174" t="str"/>
      <x:c r="L50" s="174" t="str"/>
    </x:row>
    <x:row r="51" ht="32" customHeight="1">
      <x:c r="A51" s="176" t="str">
        <x:v>Firewall</x:v>
      </x:c>
      <x:c r="B51" s="174" t="str">
        <x:v>Rotem coding not consulted</x:v>
      </x:c>
      <x:c r="C51" s="174" t="str"/>
      <x:c r="D51" s="174" t="str"/>
      <x:c r="E51" s="174" t="str"/>
      <x:c r="F51" s="174" t="str"/>
      <x:c r="G51" s="174" t="str"/>
      <x:c r="H51" s="174" t="str"/>
      <x:c r="I51" s="174" t="str"/>
      <x:c r="J51" s="174" t="str"/>
      <x:c r="K51" s="174" t="str"/>
      <x:c r="L51" s="174" t="str"/>
    </x:row>
  </x:sheetData>
  <x:mergeCells>
    <x:mergeCell ref="A1:L2"/>
    <x:mergeCell ref="A3:L3"/>
    <x:mergeCell ref="A5:C7"/>
    <x:mergeCell ref="D5:F7"/>
    <x:mergeCell ref="G5:I7"/>
    <x:mergeCell ref="J5:L7"/>
    <x:mergeCell ref="A9:L9"/>
    <x:mergeCell ref="A39:L39"/>
    <x:mergeCell ref="A40:C40"/>
    <x:mergeCell ref="D40:H40"/>
    <x:mergeCell ref="I40:L40"/>
    <x:mergeCell ref="A41:C41"/>
    <x:mergeCell ref="D41:H41"/>
    <x:mergeCell ref="I41:L41"/>
    <x:mergeCell ref="A42:C42"/>
    <x:mergeCell ref="D42:H42"/>
    <x:mergeCell ref="I42:L42"/>
    <x:mergeCell ref="A43:C43"/>
    <x:mergeCell ref="D43:H43"/>
    <x:mergeCell ref="I43:L43"/>
    <x:mergeCell ref="A44:C44"/>
    <x:mergeCell ref="D44:H44"/>
    <x:mergeCell ref="I44:L44"/>
    <x:mergeCell ref="A47:L47"/>
    <x:mergeCell ref="B48:L48"/>
    <x:mergeCell ref="B49:L49"/>
    <x:mergeCell ref="B50:L50"/>
    <x:mergeCell ref="B51:L51"/>
  </x:mergeCells>
  <x:pageMargins left="0.7" right="0.7" top="0.75" bottom="0.75" header="0.3" footer="0.3"/>
  <x:drawing xmlns:r="http://schemas.openxmlformats.org/officeDocument/2006/relationships" r:id="R4c0cd01385e94d49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168" t="str">
        <x:v>R4 Digital Validation — Executive Interpretation</x:v>
      </x:c>
      <x:c r="B1" s="168"/>
      <x:c r="C1" s="168"/>
      <x:c r="D1" s="168"/>
      <x:c r="E1" s="168"/>
      <x:c r="F1" s="168"/>
      <x:c r="G1" s="168"/>
      <x:c r="H1" s="168"/>
    </x:row>
    <x:row r="2">
      <x:c r="A2" s="168"/>
      <x:c r="B2" s="168"/>
      <x:c r="C2" s="168"/>
      <x:c r="D2" s="168"/>
      <x:c r="E2" s="168"/>
      <x:c r="F2" s="168"/>
      <x:c r="G2" s="168"/>
      <x:c r="H2" s="168"/>
    </x:row>
    <x:row r="3">
      <x:c r="A3" s="10"/>
      <x:c r="B3" s="10"/>
      <x:c r="C3" s="10"/>
      <x:c r="D3" s="10"/>
      <x:c r="E3" s="10"/>
      <x:c r="F3" s="10"/>
      <x:c r="G3" s="10"/>
      <x:c r="H3" s="10"/>
    </x:row>
    <x:row r="4">
      <x:c r="A4" s="169" t="str">
        <x:v>What is supported by the current evidence</x:v>
      </x:c>
      <x:c r="B4" s="169"/>
      <x:c r="C4" s="169"/>
      <x:c r="D4" s="169"/>
      <x:c r="E4" s="169"/>
      <x:c r="F4" s="169"/>
      <x:c r="G4" s="169"/>
      <x:c r="H4" s="169"/>
    </x:row>
    <x:row r="5">
      <x:c r="A5" s="141" t="str">
        <x:v>1. Structural portability</x:v>
      </x:c>
      <x:c r="B5" s="141"/>
      <x:c r="C5" s="141"/>
      <x:c r="D5" s="141"/>
      <x:c r="E5" s="141"/>
      <x:c r="F5" s="141"/>
      <x:c r="G5" s="141"/>
      <x:c r="H5" s="141"/>
    </x:row>
    <x:row r="6" ht="24" customHeight="1">
      <x:c r="A6" s="158" t="str">
        <x:v>The green-derived architecture is structurally portable to GDPR, DSA and the AI Act, but it requires adaptation. The 1,404-record extraction exposed recurring boundary, relational and action-representation problems.</x:v>
      </x:c>
      <x:c r="B6" s="158"/>
      <x:c r="C6" s="158"/>
      <x:c r="D6" s="158"/>
      <x:c r="E6" s="158"/>
      <x:c r="F6" s="158"/>
      <x:c r="G6" s="158"/>
      <x:c r="H6" s="158"/>
    </x:row>
    <x:row r="7" ht="24" customHeight="1">
      <x:c r="A7" s="158"/>
      <x:c r="B7" s="158"/>
      <x:c r="C7" s="158"/>
      <x:c r="D7" s="158"/>
      <x:c r="E7" s="158"/>
      <x:c r="F7" s="158"/>
      <x:c r="G7" s="158"/>
      <x:c r="H7" s="158"/>
    </x:row>
    <x:row r="8">
      <x:c r="A8" s="10"/>
      <x:c r="B8" s="10"/>
      <x:c r="C8" s="10"/>
      <x:c r="D8" s="10"/>
      <x:c r="E8" s="10"/>
      <x:c r="F8" s="10"/>
      <x:c r="G8" s="10"/>
      <x:c r="H8" s="10"/>
    </x:row>
    <x:row r="9">
      <x:c r="A9" s="141" t="str">
        <x:v>2. Variable parsimony</x:v>
      </x:c>
      <x:c r="B9" s="141"/>
      <x:c r="C9" s="141"/>
      <x:c r="D9" s="141"/>
      <x:c r="E9" s="141"/>
      <x:c r="F9" s="141"/>
      <x:c r="G9" s="141"/>
      <x:c r="H9" s="141"/>
    </x:row>
    <x:row r="10" ht="24" customHeight="1">
      <x:c r="A10" s="158" t="str">
        <x:v>Some fields are strong redundancy candidates (especially Action Object vs Information-or-Material Object). Structural Ambiguity is derivable from Extraction Confidence. Counterpart and Recipient should not be merged yet because advanced reading separates them in substantive cases.</x:v>
      </x:c>
      <x:c r="B10" s="158"/>
      <x:c r="C10" s="158"/>
      <x:c r="D10" s="158"/>
      <x:c r="E10" s="158"/>
      <x:c r="F10" s="158"/>
      <x:c r="G10" s="158"/>
      <x:c r="H10" s="158"/>
    </x:row>
    <x:row r="11" ht="24" customHeight="1">
      <x:c r="A11" s="158"/>
      <x:c r="B11" s="158"/>
      <x:c r="C11" s="158"/>
      <x:c r="D11" s="158"/>
      <x:c r="E11" s="158"/>
      <x:c r="F11" s="158"/>
      <x:c r="G11" s="158"/>
      <x:c r="H11" s="158"/>
    </x:row>
    <x:row r="12">
      <x:c r="A12" s="10"/>
      <x:c r="B12" s="10"/>
      <x:c r="C12" s="10"/>
      <x:c r="D12" s="10"/>
      <x:c r="E12" s="10"/>
      <x:c r="F12" s="10"/>
      <x:c r="G12" s="10"/>
      <x:c r="H12" s="10"/>
    </x:row>
    <x:row r="13">
      <x:c r="A13" s="141" t="str">
        <x:v>3. Action sensitivity</x:v>
      </x:c>
      <x:c r="B13" s="141"/>
      <x:c r="C13" s="141"/>
      <x:c r="D13" s="141"/>
      <x:c r="E13" s="141"/>
      <x:c r="F13" s="141"/>
      <x:c r="G13" s="141"/>
      <x:c r="H13" s="141"/>
    </x:row>
    <x:row r="14" ht="24" customHeight="1">
      <x:c r="A14" s="158" t="str">
        <x:v>The original B1 review proposed 87 Action corrections. After exposing the full Action representation (label + legal verb + modality), the descriptive correction count fell to 63; only 1 of 143 overall defect decisions changed.</x:v>
      </x:c>
      <x:c r="B14" s="158"/>
      <x:c r="C14" s="158"/>
      <x:c r="D14" s="158"/>
      <x:c r="E14" s="158"/>
      <x:c r="F14" s="158"/>
      <x:c r="G14" s="158"/>
      <x:c r="H14" s="158"/>
    </x:row>
    <x:row r="15" ht="24" customHeight="1">
      <x:c r="A15" s="158"/>
      <x:c r="B15" s="158"/>
      <x:c r="C15" s="158"/>
      <x:c r="D15" s="158"/>
      <x:c r="E15" s="158"/>
      <x:c r="F15" s="158"/>
      <x:c r="G15" s="158"/>
      <x:c r="H15" s="158"/>
    </x:row>
    <x:row r="16">
      <x:c r="A16" s="10"/>
      <x:c r="B16" s="10"/>
      <x:c r="C16" s="10"/>
      <x:c r="D16" s="10"/>
      <x:c r="E16" s="10"/>
      <x:c r="F16" s="10"/>
      <x:c r="G16" s="10"/>
      <x:c r="H16" s="10"/>
    </x:row>
    <x:row r="17">
      <x:c r="A17" s="141" t="str">
        <x:v>4. Repair templates</x:v>
      </x:c>
      <x:c r="B17" s="141"/>
      <x:c r="C17" s="141"/>
      <x:c r="D17" s="141"/>
      <x:c r="E17" s="141"/>
      <x:c r="F17" s="141"/>
      <x:c r="G17" s="141"/>
      <x:c r="H17" s="141"/>
    </x:row>
    <x:row r="18" ht="24" customHeight="1">
      <x:c r="A18" s="158" t="str">
        <x:v>Fifty repair families are conditionally validated, with potential coverage of 296 records. No template is unconditionally validated, and the B0 compression gate remains under reassessment.</x:v>
      </x:c>
      <x:c r="B18" s="158"/>
      <x:c r="C18" s="158"/>
      <x:c r="D18" s="158"/>
      <x:c r="E18" s="158"/>
      <x:c r="F18" s="158"/>
      <x:c r="G18" s="158"/>
      <x:c r="H18" s="158"/>
    </x:row>
    <x:row r="19" ht="24" customHeight="1">
      <x:c r="A19" s="158"/>
      <x:c r="B19" s="158"/>
      <x:c r="C19" s="158"/>
      <x:c r="D19" s="158"/>
      <x:c r="E19" s="158"/>
      <x:c r="F19" s="158"/>
      <x:c r="G19" s="158"/>
      <x:c r="H19" s="158"/>
    </x:row>
    <x:row r="20">
      <x:c r="A20" s="10"/>
      <x:c r="B20" s="10"/>
      <x:c r="C20" s="10"/>
      <x:c r="D20" s="10"/>
      <x:c r="E20" s="10"/>
      <x:c r="F20" s="10"/>
      <x:c r="G20" s="10"/>
      <x:c r="H20" s="10"/>
    </x:row>
    <x:row r="21">
      <x:c r="A21" s="141" t="str">
        <x:v>5. Diagnostic controls</x:v>
      </x:c>
      <x:c r="B21" s="141"/>
      <x:c r="C21" s="141"/>
      <x:c r="D21" s="141"/>
      <x:c r="E21" s="141"/>
      <x:c r="F21" s="141"/>
      <x:c r="G21" s="141"/>
      <x:c r="H21" s="141"/>
    </x:row>
    <x:row r="22" ht="24" customHeight="1">
      <x:c r="A22" s="158" t="str">
        <x:v>The 12 NO_REPAIR controls are diagnostic probes, not a blinded probability sample: 5 were clean and 7 contained defects, with no SERIOUS cases. These results indicate coverage/representativeness issues, not a corpus-wide error rate.</x:v>
      </x:c>
      <x:c r="B22" s="158"/>
      <x:c r="C22" s="158"/>
      <x:c r="D22" s="158"/>
      <x:c r="E22" s="158"/>
      <x:c r="F22" s="158"/>
      <x:c r="G22" s="158"/>
      <x:c r="H22" s="158"/>
    </x:row>
    <x:row r="23" ht="24" customHeight="1">
      <x:c r="A23" s="158"/>
      <x:c r="B23" s="158"/>
      <x:c r="C23" s="158"/>
      <x:c r="D23" s="158"/>
      <x:c r="E23" s="158"/>
      <x:c r="F23" s="158"/>
      <x:c r="G23" s="158"/>
      <x:c r="H23" s="158"/>
    </x:row>
    <x:row r="24">
      <x:c r="A24" s="10"/>
      <x:c r="B24" s="10"/>
      <x:c r="C24" s="10"/>
      <x:c r="D24" s="10"/>
      <x:c r="E24" s="10"/>
      <x:c r="F24" s="10"/>
      <x:c r="G24" s="10"/>
      <x:c r="H24" s="10"/>
    </x:row>
    <x:row r="25">
      <x:c r="A25" s="10"/>
      <x:c r="B25" s="10"/>
      <x:c r="C25" s="10"/>
      <x:c r="D25" s="10"/>
      <x:c r="E25" s="10"/>
      <x:c r="F25" s="10"/>
      <x:c r="G25" s="10"/>
      <x:c r="H25" s="10"/>
    </x:row>
    <x:row r="26">
      <x:c r="A26" s="170" t="str">
        <x:v>What is NOT yet concluded</x:v>
      </x:c>
      <x:c r="B26" s="170"/>
      <x:c r="C26" s="170"/>
      <x:c r="D26" s="170"/>
      <x:c r="E26" s="170"/>
      <x:c r="F26" s="170"/>
      <x:c r="G26" s="170"/>
      <x:c r="H26" s="170"/>
    </x:row>
    <x:row r="27" ht="24" customHeight="1">
      <x:c r="A27" s="165" t="str">
        <x:v>R/I/T coding has not started. Mechanism coding has not started. Rotem's independent coding has not been consulted. The current round therefore does not yet support a substantive Green × Digital governance comparison. B1 proportions are diagnostic within an enriched review set and must not be interpreted as prevalence in the 1,404-record corpus.</x:v>
      </x:c>
      <x:c r="B27" s="165"/>
      <x:c r="C27" s="165"/>
      <x:c r="D27" s="165"/>
      <x:c r="E27" s="165"/>
      <x:c r="F27" s="165"/>
      <x:c r="G27" s="165"/>
      <x:c r="H27" s="165"/>
    </x:row>
    <x:row r="28" ht="24" customHeight="1">
      <x:c r="A28" s="165"/>
      <x:c r="B28" s="165"/>
      <x:c r="C28" s="165"/>
      <x:c r="D28" s="165"/>
      <x:c r="E28" s="165"/>
      <x:c r="F28" s="165"/>
      <x:c r="G28" s="165"/>
      <x:c r="H28" s="165"/>
    </x:row>
    <x:row r="29" ht="24" customHeight="1">
      <x:c r="A29" s="165"/>
      <x:c r="B29" s="165"/>
      <x:c r="C29" s="165"/>
      <x:c r="D29" s="165"/>
      <x:c r="E29" s="165"/>
      <x:c r="F29" s="165"/>
      <x:c r="G29" s="165"/>
      <x:c r="H29" s="165"/>
    </x:row>
    <x:row r="30" ht="24" customHeight="1">
      <x:c r="A30" s="165"/>
      <x:c r="B30" s="165"/>
      <x:c r="C30" s="165"/>
      <x:c r="D30" s="165"/>
      <x:c r="E30" s="165"/>
      <x:c r="F30" s="165"/>
      <x:c r="G30" s="165"/>
      <x:c r="H30" s="165"/>
    </x:row>
    <x:row r="31" ht="24" customHeight="1">
      <x:c r="A31" s="165"/>
      <x:c r="B31" s="165"/>
      <x:c r="C31" s="165"/>
      <x:c r="D31" s="165"/>
      <x:c r="E31" s="165"/>
      <x:c r="F31" s="165"/>
      <x:c r="G31" s="165"/>
      <x:c r="H31" s="165"/>
    </x:row>
  </x:sheetData>
  <x:mergeCells>
    <x:mergeCell ref="A1:H2"/>
    <x:mergeCell ref="A4:H4"/>
    <x:mergeCell ref="A5:H5"/>
    <x:mergeCell ref="A6:H7"/>
    <x:mergeCell ref="A9:H9"/>
    <x:mergeCell ref="A10:H11"/>
    <x:mergeCell ref="A13:H13"/>
    <x:mergeCell ref="A14:H15"/>
    <x:mergeCell ref="A17:H17"/>
    <x:mergeCell ref="A18:H19"/>
    <x:mergeCell ref="A21:H21"/>
    <x:mergeCell ref="A22:H23"/>
    <x:mergeCell ref="A26:H26"/>
    <x:mergeCell ref="A27:H3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30" hidden="0" customWidth="1"/>
    <x:col min="7" max="7" width="30" hidden="0" customWidth="1"/>
  </x:cols>
  <x:sheetData>
    <x:row r="1">
      <x:c r="A1" s="14" t="str">
        <x:v>Normalized metrics for charts and review</x:v>
      </x:c>
      <x:c r="B1" s="14"/>
      <x:c r="C1" s="14"/>
      <x:c r="D1" s="14"/>
      <x:c r="E1" s="14"/>
      <x:c r="F1" s="14"/>
    </x:row>
    <x:row r="3">
      <x:c r="A3" s="26" t="str">
        <x:v>Metric</x:v>
      </x:c>
      <x:c r="B3" s="26" t="str">
        <x:v>GDPR</x:v>
      </x:c>
      <x:c r="C3" s="26" t="str">
        <x:v>DSA</x:v>
      </x:c>
      <x:c r="D3" s="26" t="str">
        <x:v>AI Act</x:v>
      </x:c>
      <x:c r="E3" s="26" t="str">
        <x:v>Total</x:v>
      </x:c>
      <x:c r="F3" s="26" t="str">
        <x:v>Method note</x:v>
      </x:c>
      <x:c r="G3" s="10"/>
    </x:row>
    <x:row r="4">
      <x:c r="A4" s="10" t="str">
        <x:v>Structural records</x:v>
      </x:c>
      <x:c r="B4" s="10" t="n">
        <x:f>VALUE('Source Data'!B3)</x:f>
        <x:v>485</x:v>
      </x:c>
      <x:c r="C4" s="10" t="n">
        <x:f>VALUE('Source Data'!C3)</x:f>
        <x:v>424</x:v>
      </x:c>
      <x:c r="D4" s="10" t="n">
        <x:f>VALUE('Source Data'!D3)</x:f>
        <x:v>495</x:v>
      </x:c>
      <x:c r="E4" s="10" t="n">
        <x:f>VALUE('Source Data'!E3)</x:f>
        <x:v>1404</x:v>
      </x:c>
      <x:c r="F4" s="10" t="str">
        <x:v>Full frozen extraction</x:v>
      </x:c>
      <x:c r="G4" s="10"/>
    </x:row>
    <x:row r="5">
      <x:c r="A5" s="10" t="str">
        <x:v>Advanced-reviewed in B1</x:v>
      </x:c>
      <x:c r="B5" s="10" t="n">
        <x:f>VALUE('Source Data'!B7)</x:f>
        <x:v>69</x:v>
      </x:c>
      <x:c r="C5" s="10" t="n">
        <x:f>VALUE('Source Data'!C7)</x:f>
        <x:v>49</x:v>
      </x:c>
      <x:c r="D5" s="10" t="n">
        <x:f>VALUE('Source Data'!D7)</x:f>
        <x:v>25</x:v>
      </x:c>
      <x:c r="E5" s="10" t="n">
        <x:f>VALUE('Source Data'!E7)</x:f>
        <x:v>143</x:v>
      </x:c>
      <x:c r="F5" s="10" t="str">
        <x:v>Purposive/enriched validation set</x:v>
      </x:c>
      <x:c r="G5" s="10"/>
    </x:row>
    <x:row r="6">
      <x:c r="A6" s="10" t="str">
        <x:v>Defect = YES</x:v>
      </x:c>
      <x:c r="B6" s="10" t="n">
        <x:f>VALUE('Source Data'!B8)</x:f>
        <x:v>56</x:v>
      </x:c>
      <x:c r="C6" s="10" t="n">
        <x:f>VALUE('Source Data'!C8)</x:f>
        <x:v>36</x:v>
      </x:c>
      <x:c r="D6" s="10" t="n">
        <x:f>VALUE('Source Data'!D8)</x:f>
        <x:v>19</x:v>
      </x:c>
      <x:c r="E6" s="10" t="n">
        <x:f>VALUE('Source Data'!E8)</x:f>
        <x:v>111</x:v>
      </x:c>
      <x:c r="F6" s="10" t="str">
        <x:v>Within B1 only</x:v>
      </x:c>
      <x:c r="G6" s="10"/>
    </x:row>
    <x:row r="7">
      <x:c r="A7" s="10" t="str">
        <x:v>Defect = PARTIALLY</x:v>
      </x:c>
      <x:c r="B7" s="10" t="n">
        <x:f>VALUE('Source Data'!B9)</x:f>
        <x:v>8</x:v>
      </x:c>
      <x:c r="C7" s="10" t="n">
        <x:f>VALUE('Source Data'!C9)</x:f>
        <x:v>5</x:v>
      </x:c>
      <x:c r="D7" s="10" t="n">
        <x:f>VALUE('Source Data'!D9)</x:f>
        <x:v>2</x:v>
      </x:c>
      <x:c r="E7" s="10" t="n">
        <x:f>VALUE('Source Data'!E9)</x:f>
        <x:v>15</x:v>
      </x:c>
      <x:c r="F7" s="10" t="str">
        <x:v>Within B1 only</x:v>
      </x:c>
      <x:c r="G7" s="10"/>
    </x:row>
    <x:row r="8">
      <x:c r="A8" s="10" t="str">
        <x:v>Defect = NO</x:v>
      </x:c>
      <x:c r="B8" s="10" t="n">
        <x:f>VALUE('Source Data'!B10)</x:f>
        <x:v>5</x:v>
      </x:c>
      <x:c r="C8" s="10" t="n">
        <x:f>VALUE('Source Data'!C10)</x:f>
        <x:v>8</x:v>
      </x:c>
      <x:c r="D8" s="10" t="n">
        <x:f>VALUE('Source Data'!D10)</x:f>
        <x:v>4</x:v>
      </x:c>
      <x:c r="E8" s="10" t="n">
        <x:f>VALUE('Source Data'!E10)</x:f>
        <x:v>17</x:v>
      </x:c>
      <x:c r="F8" s="10" t="str">
        <x:v>Within B1 only</x:v>
      </x:c>
      <x:c r="G8" s="10"/>
    </x:row>
    <x:row r="9">
      <x:c r="A9" s="10" t="str">
        <x:v>Relational: NEITHER</x:v>
      </x:c>
      <x:c r="B9" s="10" t="n">
        <x:f>VALUE('Source Data'!B11)</x:f>
        <x:v>44</x:v>
      </x:c>
      <x:c r="C9" s="10" t="n">
        <x:f>VALUE('Source Data'!C11)</x:f>
        <x:v>35</x:v>
      </x:c>
      <x:c r="D9" s="10" t="n">
        <x:f>VALUE('Source Data'!D11)</x:f>
        <x:v>16</x:v>
      </x:c>
      <x:c r="E9" s="10" t="n">
        <x:f>VALUE('Source Data'!E11)</x:f>
        <x:v>95</x:v>
      </x:c>
      <x:c r="F9" s="10" t="str">
        <x:v>Advanced legal reading</x:v>
      </x:c>
      <x:c r="G9" s="10"/>
    </x:row>
    <x:row r="10">
      <x:c r="A10" s="10" t="str">
        <x:v>Relational: RECIPIENT_ONLY</x:v>
      </x:c>
      <x:c r="B10" s="10" t="n">
        <x:f>VALUE('Source Data'!B12)</x:f>
        <x:v>14</x:v>
      </x:c>
      <x:c r="C10" s="10" t="n">
        <x:f>VALUE('Source Data'!C12)</x:f>
        <x:v>9</x:v>
      </x:c>
      <x:c r="D10" s="10" t="n">
        <x:f>VALUE('Source Data'!D12)</x:f>
        <x:v>4</x:v>
      </x:c>
      <x:c r="E10" s="10" t="n">
        <x:f>VALUE('Source Data'!E12)</x:f>
        <x:v>27</x:v>
      </x:c>
      <x:c r="F10" s="10" t="str">
        <x:v>Advanced legal reading</x:v>
      </x:c>
      <x:c r="G10" s="10"/>
    </x:row>
    <x:row r="11">
      <x:c r="A11" s="10" t="str">
        <x:v>Relational: COUNTERPART_ONLY</x:v>
      </x:c>
      <x:c r="B11" s="10" t="n">
        <x:f>VALUE('Source Data'!B13)</x:f>
        <x:v>7</x:v>
      </x:c>
      <x:c r="C11" s="10" t="n">
        <x:f>VALUE('Source Data'!C13)</x:f>
        <x:v>4</x:v>
      </x:c>
      <x:c r="D11" s="10" t="n">
        <x:f>VALUE('Source Data'!D13)</x:f>
        <x:v>3</x:v>
      </x:c>
      <x:c r="E11" s="10" t="n">
        <x:f>VALUE('Source Data'!E13)</x:f>
        <x:v>14</x:v>
      </x:c>
      <x:c r="F11" s="10" t="str">
        <x:v>Advanced legal reading</x:v>
      </x:c>
      <x:c r="G11" s="10"/>
    </x:row>
    <x:row r="12">
      <x:c r="A12" s="10" t="str">
        <x:v>Relational: UNCERTAIN</x:v>
      </x:c>
      <x:c r="B12" s="10" t="n">
        <x:f>VALUE('Source Data'!B14)</x:f>
        <x:v>4</x:v>
      </x:c>
      <x:c r="C12" s="10" t="n">
        <x:f>VALUE('Source Data'!C14)</x:f>
        <x:v>1</x:v>
      </x:c>
      <x:c r="D12" s="10" t="n">
        <x:f>VALUE('Source Data'!D14)</x:f>
        <x:v>2</x:v>
      </x:c>
      <x:c r="E12" s="10" t="n">
        <x:f>VALUE('Source Data'!E14)</x:f>
        <x:v>7</x:v>
      </x:c>
      <x:c r="F12" s="10" t="str">
        <x:v>Advanced legal reading</x:v>
      </x:c>
      <x:c r="G12" s="10"/>
    </x:row>
    <x:row r="13">
      <x:c r="A13" s="10"/>
      <x:c r="B13" s="10"/>
      <x:c r="C13" s="10"/>
      <x:c r="D13" s="10"/>
      <x:c r="E13" s="10"/>
      <x:c r="F13" s="10"/>
      <x:c r="G13" s="10"/>
    </x:row>
    <x:row r="14">
      <x:c r="A14" s="10"/>
      <x:c r="B14" s="10"/>
      <x:c r="C14" s="10"/>
      <x:c r="D14" s="10"/>
      <x:c r="E14" s="10"/>
      <x:c r="F14" s="10"/>
      <x:c r="G14" s="10"/>
    </x:row>
    <x:row r="15">
      <x:c r="A15" s="26" t="str">
        <x:v>Field</x:v>
      </x:c>
      <x:c r="B15" s="26" t="str">
        <x:v>Corrections</x:v>
      </x:c>
      <x:c r="C15" s="26" t="str">
        <x:v>Interpretation</x:v>
      </x:c>
      <x:c r="D15" s="10"/>
      <x:c r="E15" s="26" t="str">
        <x:v>Template status</x:v>
      </x:c>
      <x:c r="F15" s="26" t="str">
        <x:v>Count</x:v>
      </x:c>
      <x:c r="G15" s="26" t="str">
        <x:v>Note</x:v>
      </x:c>
    </x:row>
    <x:row r="16">
      <x:c r="A16" s="10" t="str">
        <x:v>Actor</x:v>
      </x:c>
      <x:c r="B16" s="10" t="n">
        <x:f>VALUE('Source Data'!E18)</x:f>
        <x:v>47</x:v>
      </x:c>
      <x:c r="C16" s="10" t="str">
        <x:v>B1 advanced review</x:v>
      </x:c>
      <x:c r="D16" s="10"/>
      <x:c r="E16" s="10" t="str">
        <x:v>VALIDATED_WITH_CONDITIONS</x:v>
      </x:c>
      <x:c r="F16" s="10" t="n">
        <x:f>VALUE('Source Data'!E30)</x:f>
        <x:v>64</x:v>
      </x:c>
      <x:c r="G16" s="10" t="str">
        <x:v>Representatives</x:v>
      </x:c>
    </x:row>
    <x:row r="17">
      <x:c r="A17" s="10" t="str">
        <x:v>Action — original</x:v>
      </x:c>
      <x:c r="B17" s="10" t="n">
        <x:f>VALUE('Source Data'!E19)</x:f>
        <x:v>87</x:v>
      </x:c>
      <x:c r="C17" s="10" t="str">
        <x:v>Historical B1 count</x:v>
      </x:c>
      <x:c r="D17" s="10"/>
      <x:c r="E17" s="10" t="str">
        <x:v>VALIDATED</x:v>
      </x:c>
      <x:c r="F17" s="10" t="n">
        <x:f>VALUE('Source Data'!E31)</x:f>
        <x:v>0</x:v>
      </x:c>
      <x:c r="G17" s="10" t="str">
        <x:v>Unconditional</x:v>
      </x:c>
    </x:row>
    <x:row r="18">
      <x:c r="A18" s="10" t="str">
        <x:v>Action — sensitivity-adjusted</x:v>
      </x:c>
      <x:c r="B18" s="10" t="n">
        <x:f>VALUE('Source Data'!E20)</x:f>
        <x:v>63</x:v>
      </x:c>
      <x:c r="C18" s="10" t="str">
        <x:v>Preferred post-hoc descriptive count</x:v>
      </x:c>
      <x:c r="D18" s="10"/>
      <x:c r="E18" s="10" t="str">
        <x:v>MORE_REPRESENTATIVES</x:v>
      </x:c>
      <x:c r="F18" s="10" t="n">
        <x:f>VALUE('Source Data'!E32)</x:f>
        <x:v>16</x:v>
      </x:c>
      <x:c r="G18" s="10" t="str">
        <x:v>Needs more evidence</x:v>
      </x:c>
    </x:row>
    <x:row r="19">
      <x:c r="A19" s="10" t="str">
        <x:v>Object</x:v>
      </x:c>
      <x:c r="B19" s="10" t="n">
        <x:f>VALUE('Source Data'!E21)</x:f>
        <x:v>83</x:v>
      </x:c>
      <x:c r="C19" s="10" t="str">
        <x:v>B1 advanced review</x:v>
      </x:c>
      <x:c r="D19" s="10"/>
      <x:c r="E19" s="10" t="str">
        <x:v>HUMAN_REVIEW_REQUIRED</x:v>
      </x:c>
      <x:c r="F19" s="10" t="n">
        <x:f>VALUE('Source Data'!E33)</x:f>
        <x:v>9</x:v>
      </x:c>
      <x:c r="G19" s="10" t="str">
        <x:v>Needs human adjudication</x:v>
      </x:c>
    </x:row>
    <x:row r="20">
      <x:c r="A20" s="10" t="str">
        <x:v>Counterpart</x:v>
      </x:c>
      <x:c r="B20" s="10" t="n">
        <x:f>VALUE('Source Data'!E22)</x:f>
        <x:v>88</x:v>
      </x:c>
      <x:c r="C20" s="10" t="str">
        <x:v>B1 advanced review</x:v>
      </x:c>
      <x:c r="D20" s="10"/>
      <x:c r="E20" s="10" t="str">
        <x:v>REJECTED</x:v>
      </x:c>
      <x:c r="F20" s="10" t="n">
        <x:f>VALUE('Source Data'!E34)</x:f>
        <x:v>8</x:v>
      </x:c>
      <x:c r="G20" s="10" t="str">
        <x:v>Template rejected</x:v>
      </x:c>
    </x:row>
    <x:row r="21">
      <x:c r="A21" s="10" t="str">
        <x:v>Recipient</x:v>
      </x:c>
      <x:c r="B21" s="10" t="n">
        <x:f>VALUE('Source Data'!E23)</x:f>
        <x:v>98</x:v>
      </x:c>
      <x:c r="C21" s="10" t="str">
        <x:v>B1 advanced review</x:v>
      </x:c>
      <x:c r="D21" s="10"/>
      <x:c r="E21" s="10"/>
      <x:c r="F21" s="10"/>
      <x:c r="G21" s="10"/>
    </x:row>
    <x:row r="22">
      <x:c r="A22" s="10"/>
      <x:c r="B22" s="10"/>
      <x:c r="C22" s="10"/>
      <x:c r="D22" s="10"/>
      <x:c r="E22" s="10"/>
      <x:c r="F22" s="10"/>
      <x:c r="G22" s="10"/>
    </x:row>
    <x:row r="23">
      <x:c r="A23" s="10"/>
      <x:c r="B23" s="10"/>
      <x:c r="C23" s="10"/>
      <x:c r="D23" s="10"/>
      <x:c r="E23" s="10"/>
      <x:c r="F23" s="10"/>
      <x:c r="G23" s="10"/>
    </x:row>
    <x:row r="24">
      <x:c r="A24" s="26" t="str">
        <x:v>KPI</x:v>
      </x:c>
      <x:c r="B24" s="26" t="str">
        <x:v>Value</x:v>
      </x:c>
      <x:c r="C24" s="26" t="str">
        <x:v>Denominator</x:v>
      </x:c>
      <x:c r="D24" s="26" t="str">
        <x:v>Interpretation</x:v>
      </x:c>
      <x:c r="E24" s="26" t="str">
        <x:v>Derived ratio</x:v>
      </x:c>
      <x:c r="F24" s="26" t="str">
        <x:v>Value</x:v>
      </x:c>
      <x:c r="G24" s="10"/>
    </x:row>
    <x:row r="25">
      <x:c r="A25" s="10" t="str">
        <x:v>Conditionally validated families</x:v>
      </x:c>
      <x:c r="B25" s="10" t="n">
        <x:v>50</x:v>
      </x:c>
      <x:c r="C25" s="10"/>
      <x:c r="D25" s="10" t="str">
        <x:v>No unconditional template validation</x:v>
      </x:c>
      <x:c r="E25" s="10" t="str">
        <x:v>B1 reviewed / corpus</x:v>
      </x:c>
      <x:c r="F25" s="27" t="n">
        <x:f>E5/E4</x:f>
        <x:v>0.10185185185185185</x:v>
      </x:c>
      <x:c r="G25" s="10"/>
    </x:row>
    <x:row r="26">
      <x:c r="A26" s="10" t="str">
        <x:v>Potential template repair coverage</x:v>
      </x:c>
      <x:c r="B26" s="10" t="n">
        <x:v>296</x:v>
      </x:c>
      <x:c r="C26" s="10" t="n">
        <x:v>1404</x:v>
      </x:c>
      <x:c r="D26" s="10" t="str">
        <x:v>Eligibility ceiling only; no repair applied</x:v>
      </x:c>
      <x:c r="E26" s="10" t="str">
        <x:v>Potential repair coverage / corpus</x:v>
      </x:c>
      <x:c r="F26" s="27" t="n">
        <x:f>B26/C26</x:f>
        <x:v>0.21082621082621084</x:v>
      </x:c>
      <x:c r="G26" s="10"/>
    </x:row>
    <x:row r="27">
      <x:c r="A27" s="10" t="str">
        <x:v>Diagnostic controls — clean</x:v>
      </x:c>
      <x:c r="B27" s="10" t="n">
        <x:v>5</x:v>
      </x:c>
      <x:c r="C27" s="10" t="n">
        <x:v>12</x:v>
      </x:c>
      <x:c r="D27" s="10" t="str">
        <x:v>Not a blinded sample</x:v>
      </x:c>
      <x:c r="E27" s="10" t="str">
        <x:v>Source excerpt gap / corpus</x:v>
      </x:c>
      <x:c r="F27" s="27" t="n">
        <x:f>B29/C29</x:f>
        <x:v>0.12891737891737892</x:v>
      </x:c>
      <x:c r="G27" s="10"/>
    </x:row>
    <x:row r="28">
      <x:c r="A28" s="10" t="str">
        <x:v>Diagnostic controls — defect found</x:v>
      </x:c>
      <x:c r="B28" s="10" t="n">
        <x:v>7</x:v>
      </x:c>
      <x:c r="C28" s="10" t="n">
        <x:v>12</x:v>
      </x:c>
      <x:c r="D28" s="10" t="str">
        <x:v>No SERIOUS defects</x:v>
      </x:c>
      <x:c r="E28" s="10" t="str">
        <x:v>Adjusted Action corrections / B1</x:v>
      </x:c>
      <x:c r="F28" s="27" t="n">
        <x:f>B18/E5</x:f>
        <x:v>0.4405594405594406</x:v>
      </x:c>
      <x:c r="G28" s="10"/>
    </x:row>
    <x:row r="29">
      <x:c r="A29" s="10" t="str">
        <x:v>Records without stored source excerpt</x:v>
      </x:c>
      <x:c r="B29" s="10" t="n">
        <x:v>181</x:v>
      </x:c>
      <x:c r="C29" s="10" t="n">
        <x:v>1404</x:v>
      </x:c>
      <x:c r="D29" s="10" t="str">
        <x:v>Provenance gap</x:v>
      </x:c>
      <x:c r="E29" s="10" t="str">
        <x:v>Defect YES+PARTIAL / B1</x:v>
      </x:c>
      <x:c r="F29" s="27" t="n">
        <x:f>(E6+E7)/E5</x:f>
        <x:v>0.8811188811188811</x:v>
      </x:c>
      <x:c r="G29" s="10"/>
    </x:row>
    <x:row r="30">
      <x:c r="A30" s="10" t="str">
        <x:v>Action decisions changed after full representation</x:v>
      </x:c>
      <x:c r="B30" s="10" t="n">
        <x:v>26</x:v>
      </x:c>
      <x:c r="C30" s="10" t="n">
        <x:v>143</x:v>
      </x:c>
      <x:c r="D30" s="10" t="str">
        <x:v>Sensitivity audit</x:v>
      </x:c>
      <x:c r="E30" s="10" t="str">
        <x:v>Controls with defect / controls</x:v>
      </x:c>
      <x:c r="F30" s="27" t="n">
        <x:f>B28/C28</x:f>
        <x:v>0.5833333333333334</x:v>
      </x:c>
      <x:c r="G30" s="10"/>
    </x:row>
    <x:row r="31">
      <x:c r="A31" s="10" t="str">
        <x:v>Overall defect decisions materially affected</x:v>
      </x:c>
      <x:c r="B31" s="10" t="n">
        <x:v>1</x:v>
      </x:c>
      <x:c r="C31" s="10" t="n">
        <x:v>143</x:v>
      </x:c>
      <x:c r="D31" s="10" t="str">
        <x:v>Sensitivity audit</x:v>
      </x:c>
      <x:c r="E31" s="10"/>
      <x:c r="F31" s="10"/>
      <x:c r="G31" s="10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58" hidden="0" customWidth="1"/>
  </x:cols>
  <x:sheetData>
    <x:row r="1">
      <x:c r="A1" s="5" t="str">
        <x:v>DIMENSION</x:v>
      </x:c>
      <x:c r="B1" s="5" t="str">
        <x:v>GDPR</x:v>
      </x:c>
      <x:c r="C1" s="5" t="str">
        <x:v>DSA</x:v>
      </x:c>
      <x:c r="D1" s="5" t="str">
        <x:v>AI_ACT</x:v>
      </x:c>
      <x:c r="E1" s="5" t="str">
        <x:v>TOTAL</x:v>
      </x:c>
      <x:c r="F1" s="5" t="str">
        <x:v>NOTE</x:v>
      </x:c>
    </x:row>
    <x:row r="2">
      <x:c r="A2" s="10" t="str">
        <x:v>CELEX identifier</x:v>
      </x:c>
      <x:c r="B2" s="10" t="str">
        <x:v>32016R0679</x:v>
      </x:c>
      <x:c r="C2" s="10" t="str">
        <x:v>32022R2065</x:v>
      </x:c>
      <x:c r="D2" s="10" t="str">
        <x:v>32024R1689</x:v>
      </x:c>
      <x:c r="E2" s="10" t="str">
        <x:v>3 instruments</x:v>
      </x:c>
      <x:c r="F2" s="10" t="str">
        <x:v>Frozen original texts; no consolidated substitution.</x:v>
      </x:c>
    </x:row>
    <x:row r="3">
      <x:c r="A3" s="10" t="str">
        <x:v>Structural records extracted</x:v>
      </x:c>
      <x:c r="B3" s="10" t="str">
        <x:v>485</x:v>
      </x:c>
      <x:c r="C3" s="10" t="str">
        <x:v>424</x:v>
      </x:c>
      <x:c r="D3" s="10" t="str">
        <x:v>495</x:v>
      </x:c>
      <x:c r="E3" s="10" t="str">
        <x:v>1404</x:v>
      </x:c>
      <x:c r="F3" s="10" t="str">
        <x:v>Unit = legal provision x actor x legal action.</x:v>
      </x:c>
    </x:row>
    <x:row r="4">
      <x:c r="A4" s="10" t="str">
        <x:v>Records from operative articles</x:v>
      </x:c>
      <x:c r="B4" s="10" t="str">
        <x:v>264</x:v>
      </x:c>
      <x:c r="C4" s="10" t="str">
        <x:v>242</x:v>
      </x:c>
      <x:c r="D4" s="10" t="str">
        <x:v>336</x:v>
      </x:c>
      <x:c r="E4" s="10" t="str">
        <x:v>842</x:v>
      </x:c>
      <x:c r="F4" s="10" t="str"/>
    </x:row>
    <x:row r="5">
      <x:c r="A5" s="10" t="str">
        <x:v>Records from recitals</x:v>
      </x:c>
      <x:c r="B5" s="10" t="str">
        <x:v>221</x:v>
      </x:c>
      <x:c r="C5" s="10" t="str">
        <x:v>182</x:v>
      </x:c>
      <x:c r="D5" s="10" t="str">
        <x:v>143</x:v>
      </x:c>
      <x:c r="E5" s="10" t="str">
        <x:v>546</x:v>
      </x:c>
      <x:c r="F5" s="10" t="str"/>
    </x:row>
    <x:row r="6">
      <x:c r="A6" s="10" t="str">
        <x:v>Records from annexes</x:v>
      </x:c>
      <x:c r="B6" s="10" t="str">
        <x:v>0</x:v>
      </x:c>
      <x:c r="C6" s="10" t="str">
        <x:v>0</x:v>
      </x:c>
      <x:c r="D6" s="10" t="str">
        <x:v>16</x:v>
      </x:c>
      <x:c r="E6" s="10" t="str">
        <x:v>16</x:v>
      </x:c>
      <x:c r="F6" s="10" t="str">
        <x:v>Only the AI Act contributes annex records.</x:v>
      </x:c>
    </x:row>
    <x:row r="7">
      <x:c r="A7" s="10" t="str">
        <x:v>Records advanced-reviewed in B1</x:v>
      </x:c>
      <x:c r="B7" s="10" t="str">
        <x:v>69</x:v>
      </x:c>
      <x:c r="C7" s="10" t="str">
        <x:v>49</x:v>
      </x:c>
      <x:c r="D7" s="10" t="str">
        <x:v>25</x:v>
      </x:c>
      <x:c r="E7" s="10" t="str">
        <x:v>143</x:v>
      </x:c>
      <x:c r="F7" s="10" t="str">
        <x:v>Purposive review set, not a random sample.</x:v>
      </x:c>
    </x:row>
    <x:row r="8">
      <x:c r="A8" s="10" t="str">
        <x:v>B1 defect present = YES</x:v>
      </x:c>
      <x:c r="B8" s="10" t="str">
        <x:v>56</x:v>
      </x:c>
      <x:c r="C8" s="10" t="str">
        <x:v>36</x:v>
      </x:c>
      <x:c r="D8" s="10" t="str">
        <x:v>19</x:v>
      </x:c>
      <x:c r="E8" s="10" t="str">
        <x:v>111</x:v>
      </x:c>
      <x:c r="F8" s="10" t="str">
        <x:v>Within the reviewed set only.</x:v>
      </x:c>
    </x:row>
    <x:row r="9">
      <x:c r="A9" s="10" t="str">
        <x:v>B1 defect present = PARTIALLY</x:v>
      </x:c>
      <x:c r="B9" s="10" t="str">
        <x:v>8</x:v>
      </x:c>
      <x:c r="C9" s="10" t="str">
        <x:v>5</x:v>
      </x:c>
      <x:c r="D9" s="10" t="str">
        <x:v>2</x:v>
      </x:c>
      <x:c r="E9" s="10" t="str">
        <x:v>15</x:v>
      </x:c>
      <x:c r="F9" s="10" t="str"/>
    </x:row>
    <x:row r="10">
      <x:c r="A10" s="10" t="str">
        <x:v>B1 defect present = NO</x:v>
      </x:c>
      <x:c r="B10" s="10" t="str">
        <x:v>5</x:v>
      </x:c>
      <x:c r="C10" s="10" t="str">
        <x:v>8</x:v>
      </x:c>
      <x:c r="D10" s="10" t="str">
        <x:v>4</x:v>
      </x:c>
      <x:c r="E10" s="10" t="str">
        <x:v>17</x:v>
      </x:c>
      <x:c r="F10" s="10" t="str"/>
    </x:row>
    <x:row r="11">
      <x:c r="A11" s="10" t="str">
        <x:v>Relational reading NEITHER</x:v>
      </x:c>
      <x:c r="B11" s="10" t="str">
        <x:v>44</x:v>
      </x:c>
      <x:c r="C11" s="10" t="str">
        <x:v>35</x:v>
      </x:c>
      <x:c r="D11" s="10" t="str">
        <x:v>16</x:v>
      </x:c>
      <x:c r="E11" s="10" t="str">
        <x:v>95</x:v>
      </x:c>
      <x:c r="F11" s="10" t="str">
        <x:v>No actor-capable relational entity in the anchored proposition.</x:v>
      </x:c>
    </x:row>
    <x:row r="12">
      <x:c r="A12" s="10" t="str">
        <x:v>Relational reading RECIPIENT_ONLY</x:v>
      </x:c>
      <x:c r="B12" s="10" t="str">
        <x:v>14</x:v>
      </x:c>
      <x:c r="C12" s="10" t="str">
        <x:v>9</x:v>
      </x:c>
      <x:c r="D12" s="10" t="str">
        <x:v>4</x:v>
      </x:c>
      <x:c r="E12" s="10" t="str">
        <x:v>27</x:v>
      </x:c>
      <x:c r="F12" s="10" t="str">
        <x:v>An express addressee, with no counterpart.</x:v>
      </x:c>
    </x:row>
    <x:row r="13">
      <x:c r="A13" s="10" t="str">
        <x:v>Relational reading COUNTERPART_ONLY</x:v>
      </x:c>
      <x:c r="B13" s="10" t="str">
        <x:v>7</x:v>
      </x:c>
      <x:c r="C13" s="10" t="str">
        <x:v>4</x:v>
      </x:c>
      <x:c r="D13" s="10" t="str">
        <x:v>3</x:v>
      </x:c>
      <x:c r="E13" s="10" t="str">
        <x:v>14</x:v>
      </x:c>
      <x:c r="F13" s="10" t="str">
        <x:v>A relational party that is not an addressee.</x:v>
      </x:c>
    </x:row>
    <x:row r="14">
      <x:c r="A14" s="10" t="str">
        <x:v>Relational reading UNCERTAIN</x:v>
      </x:c>
      <x:c r="B14" s="10" t="str">
        <x:v>4</x:v>
      </x:c>
      <x:c r="C14" s="10" t="str">
        <x:v>1</x:v>
      </x:c>
      <x:c r="D14" s="10" t="str">
        <x:v>2</x:v>
      </x:c>
      <x:c r="E14" s="10" t="str">
        <x:v>7</x:v>
      </x:c>
      <x:c r="F14" s="10" t="str"/>
    </x:row>
    <x:row r="15">
      <x:c r="A15" s="10" t="str">
        <x:v>Counterpart and recipient identical in original extraction</x:v>
      </x:c>
      <x:c r="B15" s="10" t="str"/>
      <x:c r="C15" s="10" t="str"/>
      <x:c r="D15" s="10" t="str"/>
      <x:c r="E15" s="10" t="str">
        <x:v>1404 of 1404</x:v>
      </x:c>
      <x:c r="F15" s="10" t="str">
        <x:v>Exact textual equality corpus-wide (995 both populated, 409 both empty). Counterpart-only 0; recipient-only 0.</x:v>
      </x:c>
    </x:row>
    <x:row r="16">
      <x:c r="A16" s="10" t="str">
        <x:v>Action object and information-or-material object identical</x:v>
      </x:c>
      <x:c r="B16" s="10" t="str"/>
      <x:c r="C16" s="10" t="str"/>
      <x:c r="D16" s="10" t="str"/>
      <x:c r="E16" s="10" t="str">
        <x:v>1404 of 1404</x:v>
      </x:c>
      <x:c r="F16" s="10" t="str">
        <x:v>Exact textual equality corpus-wide. Second operational redundancy.</x:v>
      </x:c>
    </x:row>
    <x:row r="17">
      <x:c r="A17" s="10" t="str">
        <x:v>Structural ambiguity derivable from extraction confidence</x:v>
      </x:c>
      <x:c r="B17" s="10" t="str"/>
      <x:c r="C17" s="10" t="str"/>
      <x:c r="D17" s="10" t="str"/>
      <x:c r="E17" s="10" t="str">
        <x:v>1404 of 1404</x:v>
      </x:c>
      <x:c r="F17" s="10" t="str">
        <x:v>One-way only: confidence LOW maps to ambiguity YES, but ambiguity NO splits into HIGH and MEDIUM. Confidence carries strictly more information.</x:v>
      </x:c>
    </x:row>
    <x:row r="18">
      <x:c r="A18" s="10" t="str">
        <x:v>Field corrections proposed - Actor</x:v>
      </x:c>
      <x:c r="B18" s="10" t="str"/>
      <x:c r="C18" s="10" t="str"/>
      <x:c r="D18" s="10" t="str"/>
      <x:c r="E18" s="10" t="str">
        <x:v>47</x:v>
      </x:c>
      <x:c r="F18" s="10" t="str">
        <x:v>Across the 143 reviewed cases.</x:v>
      </x:c>
    </x:row>
    <x:row r="19">
      <x:c r="A19" s="10" t="str">
        <x:v>Field corrections proposed - Action (as originally recorded)</x:v>
      </x:c>
      <x:c r="B19" s="10" t="str"/>
      <x:c r="C19" s="10" t="str"/>
      <x:c r="D19" s="10" t="str"/>
      <x:c r="E19" s="10" t="str">
        <x:v>87</x:v>
      </x:c>
      <x:c r="F19" s="10" t="str">
        <x:v>Recorded when the review input exposed the normalised action label only.</x:v>
      </x:c>
    </x:row>
    <x:row r="20">
      <x:c r="A20" s="10" t="str">
        <x:v>Field corrections proposed - Action (sensitivity-adjusted)</x:v>
      </x:c>
      <x:c r="B20" s="10" t="str"/>
      <x:c r="C20" s="10" t="str"/>
      <x:c r="D20" s="10" t="str"/>
      <x:c r="E20" s="10" t="str">
        <x:v>63</x:v>
      </x:c>
      <x:c r="F20" s="10" t="str">
        <x:v>Recount with the full action representation visible. Both figures are reported; neither replaces the other.</x:v>
      </x:c>
    </x:row>
    <x:row r="21">
      <x:c r="A21" s="10" t="str">
        <x:v>Field corrections proposed - Object</x:v>
      </x:c>
      <x:c r="B21" s="10" t="str"/>
      <x:c r="C21" s="10" t="str"/>
      <x:c r="D21" s="10" t="str"/>
      <x:c r="E21" s="10" t="str">
        <x:v>83</x:v>
      </x:c>
      <x:c r="F21" s="10" t="str"/>
    </x:row>
    <x:row r="22">
      <x:c r="A22" s="10" t="str">
        <x:v>Field corrections proposed - Counterpart</x:v>
      </x:c>
      <x:c r="B22" s="10" t="str"/>
      <x:c r="C22" s="10" t="str"/>
      <x:c r="D22" s="10" t="str"/>
      <x:c r="E22" s="10" t="str">
        <x:v>88</x:v>
      </x:c>
      <x:c r="F22" s="10" t="str"/>
    </x:row>
    <x:row r="23">
      <x:c r="A23" s="10" t="str">
        <x:v>Field corrections proposed - Recipient</x:v>
      </x:c>
      <x:c r="B23" s="10" t="str"/>
      <x:c r="C23" s="10" t="str"/>
      <x:c r="D23" s="10" t="str"/>
      <x:c r="E23" s="10" t="str">
        <x:v>98</x:v>
      </x:c>
      <x:c r="F23" s="10" t="str"/>
    </x:row>
    <x:row r="24">
      <x:c r="A24" s="10" t="str">
        <x:v>Action judgments changed once full action representation was visible</x:v>
      </x:c>
      <x:c r="B24" s="10" t="str"/>
      <x:c r="C24" s="10" t="str"/>
      <x:c r="D24" s="10" t="str"/>
      <x:c r="E24" s="10" t="str">
        <x:v>26 of 143</x:v>
      </x:c>
      <x:c r="F24" s="10" t="str">
        <x:v>25 moved from defective to correct, 1 the other way.</x:v>
      </x:c>
    </x:row>
    <x:row r="25">
      <x:c r="A25" s="10" t="str">
        <x:v>Overall defect decisions affected by the action representation issue</x:v>
      </x:c>
      <x:c r="B25" s="10" t="str"/>
      <x:c r="C25" s="10" t="str"/>
      <x:c r="D25" s="10" t="str"/>
      <x:c r="E25" s="10" t="str">
        <x:v>1 of 143</x:v>
      </x:c>
      <x:c r="F25" s="10" t="str">
        <x:v>In every other case the defect rested on other fields as well.</x:v>
      </x:c>
    </x:row>
    <x:row r="26">
      <x:c r="A26" s="10" t="str">
        <x:v>Principal defect family - span boundary errors</x:v>
      </x:c>
      <x:c r="B26" s="10" t="str"/>
      <x:c r="C26" s="10" t="str"/>
      <x:c r="D26" s="10" t="str"/>
      <x:c r="E26" s="10" t="str">
        <x:v>dominant</x:v>
      </x:c>
      <x:c r="F26" s="10" t="str">
        <x:v>Action or object span cuts across a constituent, or absorbs the neighbouring field.</x:v>
      </x:c>
    </x:row>
    <x:row r="27">
      <x:c r="A27" s="10" t="str">
        <x:v>Principal defect family - cross-sentence relational copying</x:v>
      </x:c>
      <x:c r="B27" s="10" t="str"/>
      <x:c r="C27" s="10" t="str"/>
      <x:c r="D27" s="10" t="str"/>
      <x:c r="E27" s="10" t="str">
        <x:v>frequent</x:v>
      </x:c>
      <x:c r="F27" s="10" t="str">
        <x:v>Counterpart and recipient quote a sentence other than the anchored one.</x:v>
      </x:c>
    </x:row>
    <x:row r="28">
      <x:c r="A28" s="10" t="str">
        <x:v>Principal defect family - coordinated predicate collapse</x:v>
      </x:c>
      <x:c r="B28" s="10" t="str"/>
      <x:c r="C28" s="10" t="str"/>
      <x:c r="D28" s="10" t="str"/>
      <x:c r="E28" s="10" t="str">
        <x:v>frequent</x:v>
      </x:c>
      <x:c r="F28" s="10" t="str">
        <x:v>A second obligation is buried inside the object of the first.</x:v>
      </x:c>
    </x:row>
    <x:row r="29">
      <x:c r="A29" s="10" t="str">
        <x:v>Repair families compressed from 1404 records</x:v>
      </x:c>
      <x:c r="B29" s="10" t="str"/>
      <x:c r="C29" s="10" t="str"/>
      <x:c r="D29" s="10" t="str"/>
      <x:c r="E29" s="10" t="str">
        <x:v>211</x:v>
      </x:c>
      <x:c r="F29" s="10" t="str">
        <x:v>B0 compression; advanced workload reduced from 524 to 131 cases.</x:v>
      </x:c>
    </x:row>
    <x:row r="30">
      <x:c r="A30" s="10" t="str">
        <x:v>Family templates VALIDATED_WITH_CONDITIONS</x:v>
      </x:c>
      <x:c r="B30" s="10" t="str"/>
      <x:c r="C30" s="10" t="str"/>
      <x:c r="D30" s="10" t="str"/>
      <x:c r="E30" s="10" t="str">
        <x:v>64</x:v>
      </x:c>
      <x:c r="F30" s="10" t="str">
        <x:v>Of 99 representatives.</x:v>
      </x:c>
    </x:row>
    <x:row r="31">
      <x:c r="A31" s="10" t="str">
        <x:v>Family templates unconditionally VALIDATED</x:v>
      </x:c>
      <x:c r="B31" s="10" t="str"/>
      <x:c r="C31" s="10" t="str"/>
      <x:c r="D31" s="10" t="str"/>
      <x:c r="E31" s="10" t="str">
        <x:v>0</x:v>
      </x:c>
      <x:c r="F31" s="10" t="str">
        <x:v>No template was validated without conditions.</x:v>
      </x:c>
    </x:row>
    <x:row r="32">
      <x:c r="A32" s="10" t="str">
        <x:v>Family templates needing more representatives</x:v>
      </x:c>
      <x:c r="B32" s="10" t="str"/>
      <x:c r="C32" s="10" t="str"/>
      <x:c r="D32" s="10" t="str"/>
      <x:c r="E32" s="10" t="str">
        <x:v>16</x:v>
      </x:c>
      <x:c r="F32" s="10" t="str"/>
    </x:row>
    <x:row r="33">
      <x:c r="A33" s="10" t="str">
        <x:v>Family templates needing human review</x:v>
      </x:c>
      <x:c r="B33" s="10" t="str"/>
      <x:c r="C33" s="10" t="str"/>
      <x:c r="D33" s="10" t="str"/>
      <x:c r="E33" s="10" t="str">
        <x:v>9</x:v>
      </x:c>
      <x:c r="F33" s="10" t="str"/>
    </x:row>
    <x:row r="34">
      <x:c r="A34" s="10" t="str">
        <x:v>Family templates rejected</x:v>
      </x:c>
      <x:c r="B34" s="10" t="str"/>
      <x:c r="C34" s="10" t="str"/>
      <x:c r="D34" s="10" t="str"/>
      <x:c r="E34" s="10" t="str">
        <x:v>8</x:v>
      </x:c>
      <x:c r="F34" s="10" t="str"/>
    </x:row>
    <x:row r="35">
      <x:c r="A35" s="10" t="str">
        <x:v>Conditionally validated repair families</x:v>
      </x:c>
      <x:c r="B35" s="10" t="str"/>
      <x:c r="C35" s="10" t="str"/>
      <x:c r="D35" s="10" t="str"/>
      <x:c r="E35" s="10" t="str">
        <x:v>50</x:v>
      </x:c>
      <x:c r="F35" s="10" t="str">
        <x:v>Families whose reviewed representatives are all VALIDATED_WITH_CONDITIONS. None is unconditionally validated.</x:v>
      </x:c>
    </x:row>
    <x:row r="36">
      <x:c r="A36" s="10" t="str">
        <x:v>Potential template repair coverage</x:v>
      </x:c>
      <x:c r="B36" s="10" t="str"/>
      <x:c r="C36" s="10" t="str"/>
      <x:c r="D36" s="10" t="str"/>
      <x:c r="E36" s="10" t="str">
        <x:v>296 records</x:v>
      </x:c>
      <x:c r="F36" s="10" t="str">
        <x:v>Records in those 50 conditionally validated families. An eligibility ceiling only; no repair was applied.</x:v>
      </x:c>
    </x:row>
    <x:row r="37">
      <x:c r="A37" s="10" t="str">
        <x:v>Records in families whose representatives disagree</x:v>
      </x:c>
      <x:c r="B37" s="10" t="str"/>
      <x:c r="C37" s="10" t="str"/>
      <x:c r="D37" s="10" t="str"/>
      <x:c r="E37" s="10" t="str">
        <x:v>141</x:v>
      </x:c>
      <x:c r="F37" s="10" t="str">
        <x:v>Excluded from the coverage figure.</x:v>
      </x:c>
    </x:row>
    <x:row r="38">
      <x:c r="A38" s="10" t="str">
        <x:v>NO_REPAIR diagnostic controls CLEAN_CONFIRMED</x:v>
      </x:c>
      <x:c r="B38" s="10" t="str"/>
      <x:c r="C38" s="10" t="str"/>
      <x:c r="D38" s="10" t="str"/>
      <x:c r="E38" s="10" t="str">
        <x:v>5 of 12</x:v>
      </x:c>
      <x:c r="F38" s="10" t="str">
        <x:v>Diagnostic probes, not a blinded sample.</x:v>
      </x:c>
    </x:row>
    <x:row r="39">
      <x:c r="A39" s="10" t="str">
        <x:v>NO_REPAIR diagnostic controls DEFECT_FOUND</x:v>
      </x:c>
      <x:c r="B39" s="10" t="str"/>
      <x:c r="C39" s="10" t="str"/>
      <x:c r="D39" s="10" t="str"/>
      <x:c r="E39" s="10" t="str">
        <x:v>7 of 12</x:v>
      </x:c>
      <x:c r="F39" s="10" t="str">
        <x:v>No control was graded SERIOUS; none showed actor invention. No false-negative rate is computed from these.</x:v>
      </x:c>
    </x:row>
    <x:row r="40">
      <x:c r="A40" s="10" t="str">
        <x:v>Records with no stored source excerpt</x:v>
      </x:c>
      <x:c r="B40" s="10" t="str"/>
      <x:c r="C40" s="10" t="str"/>
      <x:c r="D40" s="10" t="str"/>
      <x:c r="E40" s="10" t="str">
        <x:v>181 of 1404</x:v>
      </x:c>
      <x:c r="F40" s="10" t="str">
        <x:v>Provenance gap identified in this round.</x:v>
      </x:c>
    </x:row>
    <x:row r="41">
      <x:c r="A41" s="10" t="str">
        <x:v>Corpus-wide repair applied</x:v>
      </x:c>
      <x:c r="B41" s="10" t="str">
        <x:v>no</x:v>
      </x:c>
      <x:c r="C41" s="10" t="str">
        <x:v>no</x:v>
      </x:c>
      <x:c r="D41" s="10" t="str">
        <x:v>no</x:v>
      </x:c>
      <x:c r="E41" s="10" t="str">
        <x:v>none</x:v>
      </x:c>
      <x:c r="F41" s="10" t="str">
        <x:v>R4_STRUCTURAL_EXTRACTION.csv is unmodified.</x:v>
      </x:c>
    </x:row>
    <x:row r="42">
      <x:c r="A42" s="10" t="str">
        <x:v>Regulator / intermediary / target coding</x:v>
      </x:c>
      <x:c r="B42" s="10" t="str"/>
      <x:c r="C42" s="10" t="str"/>
      <x:c r="D42" s="10" t="str"/>
      <x:c r="E42" s="10" t="str">
        <x:v>not started</x:v>
      </x:c>
      <x:c r="F42" s="10" t="str">
        <x:v>Next analytical layer.</x:v>
      </x:c>
    </x:row>
    <x:row r="43">
      <x:c r="A43" s="10" t="str">
        <x:v>Mechanism coding</x:v>
      </x:c>
      <x:c r="B43" s="10" t="str"/>
      <x:c r="C43" s="10" t="str"/>
      <x:c r="D43" s="10" t="str"/>
      <x:c r="E43" s="10" t="str">
        <x:v>not started</x:v>
      </x:c>
      <x:c r="F43" s="10" t="str">
        <x:v>Next analytical layer.</x:v>
      </x:c>
    </x:row>
    <x:row r="44">
      <x:c r="A44" s="10" t="str">
        <x:v>Independent coding by Rotem consulted</x:v>
      </x:c>
      <x:c r="B44" s="10" t="str"/>
      <x:c r="C44" s="10" t="str"/>
      <x:c r="D44" s="10" t="str"/>
      <x:c r="E44" s="10" t="str">
        <x:v>no</x:v>
      </x:c>
      <x:c r="F44" s="10" t="str">
        <x:v>Held behind a firewall to preserve an independent comparison.</x:v>
      </x:c>
    </x:row>
  </x:sheetData>
  <x:pageMargins left="0.7" right="0.7" top="0.75" bottom="0.75" header="0.3" footer="0.3"/>
  <x:tableParts count="1">
    <x:tablePart xmlns:r="http://schemas.openxmlformats.org/officeDocument/2006/relationships" r:id="R30bf8f471fbe461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0" hidden="0" customWidth="1"/>
  </x:cols>
  <x:sheetData>
    <x:row r="1">
      <x:c r="A1" s="152" t="str">
        <x:v>Method Notes &amp; Interpretation Guardrails</x:v>
      </x:c>
      <x:c r="B1" s="152"/>
      <x:c r="C1" s="152"/>
      <x:c r="D1" s="152"/>
      <x:c r="E1" s="152"/>
      <x:c r="F1" s="152"/>
    </x:row>
    <x:row r="2">
      <x:c r="A2" s="152"/>
      <x:c r="B2" s="152"/>
      <x:c r="C2" s="152"/>
      <x:c r="D2" s="152"/>
      <x:c r="E2" s="152"/>
      <x:c r="F2" s="152"/>
    </x:row>
    <x:row r="4">
      <x:c r="A4" s="19" t="str">
        <x:v>Topic</x:v>
      </x:c>
      <x:c r="B4" s="19" t="str">
        <x:v>Current interpretation</x:v>
      </x:c>
    </x:row>
    <x:row r="5">
      <x:c r="A5" s="156" t="str">
        <x:v>B1 review design</x:v>
      </x:c>
      <x:c r="B5" s="10" t="str">
        <x:v>143 cases: 99 family representatives, 32 individual advanced cases, 12 NO_REPAIR diagnostic controls.</x:v>
      </x:c>
    </x:row>
    <x:row r="6">
      <x:c r="A6" s="156" t="str">
        <x:v>Sampling interpretation</x:v>
      </x:c>
      <x:c r="B6" s="10" t="str">
        <x:v>Purposive/enriched validation set; not a random sample and not a prevalence estimator.</x:v>
      </x:c>
    </x:row>
    <x:row r="7">
      <x:c r="A7" s="156" t="str">
        <x:v>Action sensitivity audit</x:v>
      </x:c>
      <x:c r="B7" s="10" t="str">
        <x:v>Historical Action correction count = 87; sensitivity-adjusted = 63. Only 1/143 overall defect decisions changed.</x:v>
      </x:c>
    </x:row>
    <x:row r="8">
      <x:c r="A8" s="156" t="str">
        <x:v>Controls</x:v>
      </x:c>
      <x:c r="B8" s="10" t="str">
        <x:v>Diagnostic probes, not reliably blinded. 5 clean, 7 defect found, 0 serious.</x:v>
      </x:c>
    </x:row>
    <x:row r="9">
      <x:c r="A9" s="156" t="str">
        <x:v>Compression gate</x:v>
      </x:c>
      <x:c r="B9" s="10" t="str">
        <x:v>B0_COMPRESSION_REASSESSMENT_REQUIRED due to coverage/representativeness concerns and family disagreement.</x:v>
      </x:c>
    </x:row>
    <x:row r="10">
      <x:c r="A10" s="156" t="str">
        <x:v>Template validation</x:v>
      </x:c>
      <x:c r="B10" s="10" t="str">
        <x:v>0 unconditional validations; 50 conditionally validated families, 296-record potential coverage ceiling.</x:v>
      </x:c>
    </x:row>
    <x:row r="11">
      <x:c r="A11" s="156" t="str">
        <x:v>Original corpus</x:v>
      </x:c>
      <x:c r="B11" s="10" t="str">
        <x:v>R4_STRUCTURAL_EXTRACTION.csv remained unmodified; corpus-wide repair was not executed.</x:v>
      </x:c>
    </x:row>
    <x:row r="12">
      <x:c r="A12" s="156" t="str">
        <x:v>Next layer</x:v>
      </x:c>
      <x:c r="B12" s="10" t="str">
        <x:v>R/I/T and mechanism coding remain not started.</x:v>
      </x:c>
    </x:row>
    <x:row r="13">
      <x:c r="A13" s="156" t="str">
        <x:v>Independence firewall</x:v>
      </x:c>
      <x:c r="B13" s="10" t="str">
        <x:v>Rotem coding not consulted, preserving later independent comparison.</x:v>
      </x:c>
    </x:row>
  </x:sheetData>
  <x:mergeCells>
    <x:mergeCell ref="A1:F2"/>
  </x:mergeCells>
  <x:pageMargins left="0.7" right="0.7" top="0.75" bottom="0.75" header="0.3" footer="0.3"/>
</x:worksheet>
</file>