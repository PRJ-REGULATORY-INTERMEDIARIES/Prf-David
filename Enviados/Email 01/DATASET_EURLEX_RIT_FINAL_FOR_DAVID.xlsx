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bb55eba1232b57b/PROJETOS/GITHUB/git-cairesmachado-svg--ICM-PMO/10_PROGRAMAS/GP5_JRG/Prf-David/Enviados/Email 01/"/>
    </mc:Choice>
  </mc:AlternateContent>
  <xr:revisionPtr revIDLastSave="2" documentId="8_{0A2BEB71-4182-4274-8DFB-900E9A587F09}" xr6:coauthVersionLast="47" xr6:coauthVersionMax="47" xr10:uidLastSave="{237B5332-0C48-4686-B543-249AB73209D4}"/>
  <bookViews>
    <workbookView xWindow="-105" yWindow="0" windowWidth="23925" windowHeight="31785" activeTab="3" xr2:uid="{00000000-000D-0000-FFFF-FFFF00000000}"/>
  </bookViews>
  <sheets>
    <sheet name="OVERVIEW" sheetId="1" r:id="rId1"/>
    <sheet name="ACT_SUMMARY" sheetId="2" r:id="rId2"/>
    <sheet name="ACTOR_ROLE_MAP" sheetId="3" r:id="rId3"/>
    <sheet name="INTERMEDIARY_MAP" sheetId="4" r:id="rId4"/>
    <sheet name="RELATION_EVIDENCE" sheetId="5" r:id="rId5"/>
    <sheet name="DATA_DICTION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K4" i="2"/>
  <c r="J4" i="2"/>
  <c r="I4" i="2"/>
  <c r="H4" i="2"/>
  <c r="G4" i="2"/>
  <c r="E6" i="1" s="1"/>
  <c r="F4" i="2"/>
  <c r="L3" i="2"/>
  <c r="K3" i="2"/>
  <c r="J3" i="2"/>
  <c r="I3" i="2"/>
  <c r="G6" i="1" s="1"/>
  <c r="H3" i="2"/>
  <c r="G3" i="2"/>
  <c r="F18" i="1" s="1"/>
  <c r="F3" i="2"/>
  <c r="L2" i="2"/>
  <c r="K2" i="2"/>
  <c r="J2" i="2"/>
  <c r="I2" i="2"/>
  <c r="H2" i="2"/>
  <c r="G2" i="2"/>
  <c r="F17" i="1" s="1"/>
  <c r="F2" i="2"/>
  <c r="E17" i="1" s="1"/>
  <c r="G19" i="1"/>
  <c r="E19" i="1"/>
  <c r="G18" i="1"/>
  <c r="E18" i="1"/>
  <c r="G17" i="1"/>
  <c r="C6" i="1"/>
  <c r="A6" i="1"/>
  <c r="F19" i="1" l="1"/>
</calcChain>
</file>

<file path=xl/sharedStrings.xml><?xml version="1.0" encoding="utf-8"?>
<sst xmlns="http://schemas.openxmlformats.org/spreadsheetml/2006/main" count="1072" uniqueCount="436">
  <si>
    <t>EU Green-Transition Regulatory Intermediaries — Final Three-Case Dataset</t>
  </si>
  <si>
    <t>Researcher-adjudicated dataset using a multi-level R-I-T architecture: Act/Regime → Actor-in-Role → Intermediary Function/Mechanism, supported by relation-level evidence.</t>
  </si>
  <si>
    <t>Regulations</t>
  </si>
  <si>
    <t>Final relations</t>
  </si>
  <si>
    <t>Intermediated relations</t>
  </si>
  <si>
    <t>Intermediary actor-role records</t>
  </si>
  <si>
    <t>Final analytical structure</t>
  </si>
  <si>
    <t>Level</t>
  </si>
  <si>
    <t>Purpose</t>
  </si>
  <si>
    <t>Act / regime</t>
  </si>
  <si>
    <t>Defines the legal and institutional context of each regulation.</t>
  </si>
  <si>
    <t>Actor-in-role</t>
  </si>
  <si>
    <t>Maps actors as R, I or T within each act; roles remain relational and context-dependent.</t>
  </si>
  <si>
    <t>Relation evidence</t>
  </si>
  <si>
    <t>Preserves the operative legal episodes that justify role and intermediary classifications.</t>
  </si>
  <si>
    <t>Cases</t>
  </si>
  <si>
    <t>Case</t>
  </si>
  <si>
    <t>CELEX</t>
  </si>
  <si>
    <t>Regulation</t>
  </si>
  <si>
    <t>Domain</t>
  </si>
  <si>
    <t>Intermediated</t>
  </si>
  <si>
    <t>Direct</t>
  </si>
  <si>
    <t>Source</t>
  </si>
  <si>
    <t>case_01</t>
  </si>
  <si>
    <t>32021R1119</t>
  </si>
  <si>
    <t>Regulation (EU) 2021/1119 — European Climate Law</t>
  </si>
  <si>
    <t>Climate governance</t>
  </si>
  <si>
    <t>https://eur-lex.europa.eu/legal-content/EN/TXT/HTML/?uri=CELEX:32021R1119</t>
  </si>
  <si>
    <t>case_02</t>
  </si>
  <si>
    <t>32023R0956</t>
  </si>
  <si>
    <t>Regulation (EU) 2023/956 — Carbon Border Adjustment Mechanism (CBAM)</t>
  </si>
  <si>
    <t>Climate, trade and industrial decarbonisation</t>
  </si>
  <si>
    <t>https://eur-lex.europa.eu/legal-content/EN/TXT/HTML/?uri=CELEX:32023R0956</t>
  </si>
  <si>
    <t>case_03</t>
  </si>
  <si>
    <t>32023R1115</t>
  </si>
  <si>
    <t>Regulation (EU) 2023/1115 — Deforestation-Free Products Regulation (EUDR)</t>
  </si>
  <si>
    <t>Deforestation, biodiversity and supply-chain governance</t>
  </si>
  <si>
    <t>https://eur-lex.europa.eu/legal-content/EN/TXT/HTML/?uri=CELEX:32023R1115</t>
  </si>
  <si>
    <t>Mechanism-family convention</t>
  </si>
  <si>
    <t>Family</t>
  </si>
  <si>
    <t>Meaning in this dataset</t>
  </si>
  <si>
    <t>reporting</t>
  </si>
  <si>
    <t>Formal reporting or evidence transmission used as part of the regulatory mechanism.</t>
  </si>
  <si>
    <t>certification</t>
  </si>
  <si>
    <t>Certification/licensing/accreditation functions that validate actors or compliance status.</t>
  </si>
  <si>
    <t>auditing</t>
  </si>
  <si>
    <t>Independent verification/assurance of regulated information or performance.</t>
  </si>
  <si>
    <t>other</t>
  </si>
  <si>
    <t>Institutionally integrated intermediary functions outside the four focal families (e.g., comitology, expert consultation, border-information functions).</t>
  </si>
  <si>
    <t>ranking/rating</t>
  </si>
  <si>
    <t>No final instance identified in these three acts.</t>
  </si>
  <si>
    <t>case_id</t>
  </si>
  <si>
    <t>celex</t>
  </si>
  <si>
    <t>act_title</t>
  </si>
  <si>
    <t>domain</t>
  </si>
  <si>
    <t>source_url</t>
  </si>
  <si>
    <t>final_relations</t>
  </si>
  <si>
    <t>intermediated</t>
  </si>
  <si>
    <t>direct</t>
  </si>
  <si>
    <t>unique_intermediary_actors</t>
  </si>
  <si>
    <t>regulator_facing_I</t>
  </si>
  <si>
    <t>target_facing_I</t>
  </si>
  <si>
    <t>bidirectional_I</t>
  </si>
  <si>
    <t>intermediary_actors</t>
  </si>
  <si>
    <t>mechanism_families_observed</t>
  </si>
  <si>
    <t>Energy Union Committee; European Environment Agency (EEA); European Scientific Advisory Board on Climate Change</t>
  </si>
  <si>
    <t>reporting; other</t>
  </si>
  <si>
    <t>Accredited verifiers; National accreditation bodies; Customs authorities; CBAM Committee; Experts designated by each Member State</t>
  </si>
  <si>
    <t>auditing; certification; other</t>
  </si>
  <si>
    <t>Customs authorities; Natural or legal persons submitting substantiated concerns; FLEGT licensing authorities / licensing scheme; Comitology committee under Article 36</t>
  </si>
  <si>
    <t>reporting; certification; other</t>
  </si>
  <si>
    <t>actor_role_id</t>
  </si>
  <si>
    <t>actor</t>
  </si>
  <si>
    <t>actor_type</t>
  </si>
  <si>
    <t>governance_level</t>
  </si>
  <si>
    <t>role</t>
  </si>
  <si>
    <t>intermediation_orientation</t>
  </si>
  <si>
    <t>primary_function</t>
  </si>
  <si>
    <t>role_description</t>
  </si>
  <si>
    <t>supporting_relation_ids</t>
  </si>
  <si>
    <t>supporting_articles</t>
  </si>
  <si>
    <t>AR_C01_001</t>
  </si>
  <si>
    <t>European Parliament and Council</t>
  </si>
  <si>
    <t>EU legislature</t>
  </si>
  <si>
    <t>EU</t>
  </si>
  <si>
    <t>R</t>
  </si>
  <si>
    <t>Formal Union rule-maker setting binding climate objectives through the Regulation.</t>
  </si>
  <si>
    <t>REL_C01_001</t>
  </si>
  <si>
    <t>Articles 2(2) and 4(1)</t>
  </si>
  <si>
    <t>AR_C01_002</t>
  </si>
  <si>
    <t>European Commission</t>
  </si>
  <si>
    <t>EU institution</t>
  </si>
  <si>
    <t>Sets strategies, conducts assessments, prepares proposals and adopts implementing measures.</t>
  </si>
  <si>
    <t>REL_C01_002; REL_C01_003; REL_C01_007; REL_C01_008</t>
  </si>
  <si>
    <t>Articles 4, 5, 7, 8 and 13</t>
  </si>
  <si>
    <t>AR_C01_003</t>
  </si>
  <si>
    <t>Energy Union Committee</t>
  </si>
  <si>
    <t>EU comitology committee</t>
  </si>
  <si>
    <t>I</t>
  </si>
  <si>
    <t>regulator-facing</t>
  </si>
  <si>
    <t>comitology / delegated implementation</t>
  </si>
  <si>
    <t>Assists the Commission in adopting implementing rules governing Member State reporting arrangements.</t>
  </si>
  <si>
    <t>REL_C01_008</t>
  </si>
  <si>
    <t>Article 13(b)</t>
  </si>
  <si>
    <t>AR_C01_004</t>
  </si>
  <si>
    <t>European Environment Agency (EEA)</t>
  </si>
  <si>
    <t>EU agency</t>
  </si>
  <si>
    <t>reporting / assessment support</t>
  </si>
  <si>
    <t>Provides reports and assistance that are institutionally integrated into Commission assessments of Member State progress and measures.</t>
  </si>
  <si>
    <t>REL_C01_003</t>
  </si>
  <si>
    <t>Articles 8(3)(b) and 8(4)</t>
  </si>
  <si>
    <t>AR_C01_005</t>
  </si>
  <si>
    <t>European Scientific Advisory Board on Climate Change</t>
  </si>
  <si>
    <t>Independent scientific advisory body</t>
  </si>
  <si>
    <t>scientific reporting / scientific advice</t>
  </si>
  <si>
    <t>Provides reports and scientific advice integrated into Commission assessment and climate-target formulation.</t>
  </si>
  <si>
    <t>REL_C01_003; REL_C01_007</t>
  </si>
  <si>
    <t>Articles 4(4) and 8(3)(b)</t>
  </si>
  <si>
    <t>AR_C01_006</t>
  </si>
  <si>
    <t>Member States</t>
  </si>
  <si>
    <t>Governmental actor class</t>
  </si>
  <si>
    <t>Member State</t>
  </si>
  <si>
    <t>T</t>
  </si>
  <si>
    <t>Implement climate and adaptation obligations and are subject to Commission assessment and reporting arrangements.</t>
  </si>
  <si>
    <t>REL_C01_001; REL_C01_002; REL_C01_003; REL_C01_007; REL_C01_008</t>
  </si>
  <si>
    <t>Articles 2, 4, 5, 7, 8 and 13</t>
  </si>
  <si>
    <t>AR_C01_007</t>
  </si>
  <si>
    <t>Relevant Union institutions</t>
  </si>
  <si>
    <t>EU institutional actor class</t>
  </si>
  <si>
    <t>Bound by the Regulation to take Union-level measures toward the climate-neutrality objective.</t>
  </si>
  <si>
    <t>Article 2(2)</t>
  </si>
  <si>
    <t>AR_C02_001</t>
  </si>
  <si>
    <t>Exercises central oversight, registry administration, rule-making, exemption assessment and delegated/implementing powers under CBAM.</t>
  </si>
  <si>
    <t>REL_C02_001; REL_C02_002; REL_C02_003; REL_C02_004; REL_C02_006; REL_C02_007; REL_C02_009; REL_C02_010</t>
  </si>
  <si>
    <t>Articles 2, 10, 17–19, 25, 28 and 29</t>
  </si>
  <si>
    <t>AR_C02_002</t>
  </si>
  <si>
    <t>Member State competent authorities</t>
  </si>
  <si>
    <t>Public regulatory authority</t>
  </si>
  <si>
    <t>Authorise declarants, review compliance and impose penalties, including through information received from customs and verified declarations.</t>
  </si>
  <si>
    <t>REL_C02_001; REL_C02_003; REL_C02_004; REL_C02_005</t>
  </si>
  <si>
    <t>Articles 17, 19, 25 and 26</t>
  </si>
  <si>
    <t>AR_C02_003</t>
  </si>
  <si>
    <t>Accredited verifiers</t>
  </si>
  <si>
    <t>Conformity-assessment actors</t>
  </si>
  <si>
    <t>Third-party / market</t>
  </si>
  <si>
    <t>bidirectional</t>
  </si>
  <si>
    <t>verification / assurance</t>
  </si>
  <si>
    <t>Independently verify embedded-emissions data submitted by authorised CBAM declarants.</t>
  </si>
  <si>
    <t>REL_C02_001</t>
  </si>
  <si>
    <t>Articles 6 and 8</t>
  </si>
  <si>
    <t>AR_C02_004</t>
  </si>
  <si>
    <t>National accreditation bodies</t>
  </si>
  <si>
    <t>Accreditation authorities</t>
  </si>
  <si>
    <t>target-facing</t>
  </si>
  <si>
    <t>accreditation</t>
  </si>
  <si>
    <t>Accredit and oversee persons acting as CBAM verifiers within the legal framework established by the Regulation.</t>
  </si>
  <si>
    <t>REL_C02_002</t>
  </si>
  <si>
    <t>Article 18</t>
  </si>
  <si>
    <t>AR_C02_005</t>
  </si>
  <si>
    <t>Customs authorities</t>
  </si>
  <si>
    <t>Public border-enforcement authorities</t>
  </si>
  <si>
    <t>border control / information transmission</t>
  </si>
  <si>
    <t>Gatekeep imports, verify declarant status and transmit customs information into CBAM compliance and oversight processes.</t>
  </si>
  <si>
    <t>REL_C02_003</t>
  </si>
  <si>
    <t>Articles 19 and 25</t>
  </si>
  <si>
    <t>AR_C02_006</t>
  </si>
  <si>
    <t>CBAM Committee</t>
  </si>
  <si>
    <t>Assists the Commission under the committee procedure for implementing acts.</t>
  </si>
  <si>
    <t>REL_C02_009</t>
  </si>
  <si>
    <t>Article 29</t>
  </si>
  <si>
    <t>AR_C02_007</t>
  </si>
  <si>
    <t>Experts designated by each Member State</t>
  </si>
  <si>
    <t>Expert/advisory group</t>
  </si>
  <si>
    <t>Member State-designated</t>
  </si>
  <si>
    <t>expert consultation / delegated rule-making</t>
  </si>
  <si>
    <t>Provide mandatory expert consultation before the Commission adopts delegated acts.</t>
  </si>
  <si>
    <t>REL_C02_010</t>
  </si>
  <si>
    <t>Article 28(5)</t>
  </si>
  <si>
    <t>AR_C02_008</t>
  </si>
  <si>
    <t>Authorised CBAM declarants</t>
  </si>
  <si>
    <t>Regulated economic actors</t>
  </si>
  <si>
    <t>Market</t>
  </si>
  <si>
    <t>Submit CBAM declarations, surrender certificates and comply with verified embedded-emissions and administrative requirements.</t>
  </si>
  <si>
    <t>REL_C02_001; REL_C02_003; REL_C02_004; REL_C02_005; REL_C02_009; REL_C02_010</t>
  </si>
  <si>
    <t>Articles 4, 6, 8, 17, 19, 22, 25, 26, 28 and 29</t>
  </si>
  <si>
    <t>AR_C02_009</t>
  </si>
  <si>
    <t>Importers</t>
  </si>
  <si>
    <t>Are subject to border-entry controls and CBAM authorisation requirements when introducing covered goods.</t>
  </si>
  <si>
    <t>Article 25</t>
  </si>
  <si>
    <t>AR_C02_010</t>
  </si>
  <si>
    <t>Verifiers</t>
  </si>
  <si>
    <t>Are the direct object of accreditation rules and oversight requirements.</t>
  </si>
  <si>
    <t>AR_C02_011</t>
  </si>
  <si>
    <t>Operators of installations in third countries</t>
  </si>
  <si>
    <t>Third country / market</t>
  </si>
  <si>
    <t>May seek registration of installations and associated embedded-emissions information in the CBAM registry.</t>
  </si>
  <si>
    <t>REL_C02_006</t>
  </si>
  <si>
    <t>Article 10</t>
  </si>
  <si>
    <t>AR_C02_012</t>
  </si>
  <si>
    <t>Persons introducing goods without authorisation</t>
  </si>
  <si>
    <t>Are subject to penalties when goods are introduced without required CBAM authorisation.</t>
  </si>
  <si>
    <t>REL_C02_005</t>
  </si>
  <si>
    <t>Article 26</t>
  </si>
  <si>
    <t>AR_C02_013</t>
  </si>
  <si>
    <t>Third countries or territories seeking electricity-market exemption</t>
  </si>
  <si>
    <t>Jurisdictional actors</t>
  </si>
  <si>
    <t>Third country</t>
  </si>
  <si>
    <t>Are subject to Commission assessment of conditions, roadmaps and reports for electricity-related exemption.</t>
  </si>
  <si>
    <t>REL_C02_007</t>
  </si>
  <si>
    <t>Article 2(7)–(9)</t>
  </si>
  <si>
    <t>AR_C02_014</t>
  </si>
  <si>
    <t>Operators affected by delegated acts</t>
  </si>
  <si>
    <t>May be affected by delegated rules on scope, calculation, verification and anti-circumvention measures.</t>
  </si>
  <si>
    <t>AR_C03_001</t>
  </si>
  <si>
    <t>Supports enforcement architecture, classifies country risk and adopts implementing acts under the Regulation.</t>
  </si>
  <si>
    <t>REL_C03_001; REL_C03_002; REL_C03_003; REL_C03_007</t>
  </si>
  <si>
    <t>Articles 16, 27, 29, 30 and 36</t>
  </si>
  <si>
    <t>AR_C03_002</t>
  </si>
  <si>
    <t>Conduct compliance checks and enforcement, assess substantiated concerns and apply the Regulation's legality framework.</t>
  </si>
  <si>
    <t>REL_C03_001; REL_C03_002; REL_C03_004; REL_C03_006</t>
  </si>
  <si>
    <t>Articles 16, 26, 27 and 31</t>
  </si>
  <si>
    <t>AR_C03_003</t>
  </si>
  <si>
    <t>border control / information exchange</t>
  </si>
  <si>
    <t>Use due-diligence status to control customs release and exchange information with competent authorities and the Commission.</t>
  </si>
  <si>
    <t>REL_C03_002</t>
  </si>
  <si>
    <t>Articles 26 and 27</t>
  </si>
  <si>
    <t>AR_C03_004</t>
  </si>
  <si>
    <t>Natural or legal persons submitting substantiated concerns</t>
  </si>
  <si>
    <t>Public/civil-society reporting actors</t>
  </si>
  <si>
    <t>External actor class</t>
  </si>
  <si>
    <t>substantiated-concern reporting</t>
  </si>
  <si>
    <t>Submit formally recognised evidence of possible non-compliance that competent authorities must assess.</t>
  </si>
  <si>
    <t>REL_C03_004</t>
  </si>
  <si>
    <t>Article 31</t>
  </si>
  <si>
    <t>AR_C03_005</t>
  </si>
  <si>
    <t>FLEGT licensing authorities / licensing scheme</t>
  </si>
  <si>
    <t>Licensing/certification institutions</t>
  </si>
  <si>
    <t>International / bilateral</t>
  </si>
  <si>
    <t>licensing / certification</t>
  </si>
  <si>
    <t>Provide legally recognised FLEGT licences that satisfy the EUDR legality condition for covered wood products.</t>
  </si>
  <si>
    <t>REL_C03_006</t>
  </si>
  <si>
    <t>Article 10(3)</t>
  </si>
  <si>
    <t>AR_C03_006</t>
  </si>
  <si>
    <t>Comitology committee under Article 36</t>
  </si>
  <si>
    <t>REL_C03_007</t>
  </si>
  <si>
    <t>Article 36</t>
  </si>
  <si>
    <t>AR_C03_007</t>
  </si>
  <si>
    <t>Operators</t>
  </si>
  <si>
    <t>Must perform due diligence and comply with market-access rules and official checks.</t>
  </si>
  <si>
    <t>REL_C03_001; REL_C03_002; REL_C03_004; REL_C03_006; REL_C03_007</t>
  </si>
  <si>
    <t>Articles 3, 4, 16, 26, 31 and 36</t>
  </si>
  <si>
    <t>AR_C03_008</t>
  </si>
  <si>
    <t>Traders</t>
  </si>
  <si>
    <t>Are subject to the Regulation's traceability, due-diligence and enforcement architecture according to their legal category.</t>
  </si>
  <si>
    <t>AR_C03_009</t>
  </si>
  <si>
    <t>Are included in the country-benchmarking and cooperation architecture at the act/regime level.</t>
  </si>
  <si>
    <t>REL_C03_003</t>
  </si>
  <si>
    <t>Articles 29 and 30</t>
  </si>
  <si>
    <t>AR_C03_010</t>
  </si>
  <si>
    <t>Third countries or parts thereof</t>
  </si>
  <si>
    <t>Are classified by deforestation risk and may be engaged through cooperation and dialogue.</t>
  </si>
  <si>
    <t>intermediary_record_id</t>
  </si>
  <si>
    <t>intermediary_actor</t>
  </si>
  <si>
    <t>orientation</t>
  </si>
  <si>
    <t>intermediary_function</t>
  </si>
  <si>
    <t>mechanism_family</t>
  </si>
  <si>
    <t>mechanism_detail</t>
  </si>
  <si>
    <t>regulator_context</t>
  </si>
  <si>
    <t>target_context</t>
  </si>
  <si>
    <t>function_description</t>
  </si>
  <si>
    <t>IM_C01_001</t>
  </si>
  <si>
    <t>comitology assistance</t>
  </si>
  <si>
    <t>IM_C01_002</t>
  </si>
  <si>
    <t>scientific/technical reporting and assessment support</t>
  </si>
  <si>
    <t>Provides reports and assessment support institutionally integrated into Commission oversight of Member State climate progress and measures.</t>
  </si>
  <si>
    <t>IM_C01_003</t>
  </si>
  <si>
    <t>scientific reporting</t>
  </si>
  <si>
    <t>reporting / scientific expertise</t>
  </si>
  <si>
    <t>Article 8(3)(b)</t>
  </si>
  <si>
    <t>Provides scientific reports that the Commission must use among the bases for its assessments of Member State progress and measures.</t>
  </si>
  <si>
    <t>IM_C01_004</t>
  </si>
  <si>
    <t>scientific advice</t>
  </si>
  <si>
    <t>scientific advice / standard-setting support</t>
  </si>
  <si>
    <t>REL_C01_007</t>
  </si>
  <si>
    <t>Article 4(4)</t>
  </si>
  <si>
    <t>Provides advice that the Commission must take into account when preparing the Union greenhouse-gas budget and future climate-target proposal.</t>
  </si>
  <si>
    <t>IM_C02_001</t>
  </si>
  <si>
    <t>independent verification</t>
  </si>
  <si>
    <t>European Commission; Member State competent authorities</t>
  </si>
  <si>
    <t>Verify embedded-emissions data reported by declarants before that information enters the CBAM compliance system.</t>
  </si>
  <si>
    <t>IM_C02_002</t>
  </si>
  <si>
    <t>Accredit and oversee the actors authorised to perform CBAM verification.</t>
  </si>
  <si>
    <t>IM_C02_003</t>
  </si>
  <si>
    <t>border gatekeeping and information transmission</t>
  </si>
  <si>
    <t>information transmission / border enforcement support</t>
  </si>
  <si>
    <t>Authorised CBAM declarants; importers</t>
  </si>
  <si>
    <t>Control import entry and transmit customs information used in CBAM oversight and compliance review.</t>
  </si>
  <si>
    <t>IM_C02_004</t>
  </si>
  <si>
    <t>Assists the Commission under the examination procedure for implementing acts.</t>
  </si>
  <si>
    <t>IM_C02_005</t>
  </si>
  <si>
    <t>expert consultation</t>
  </si>
  <si>
    <t>Authorised CBAM declarants; operators affected by delegated acts</t>
  </si>
  <si>
    <t>Provide formally required expert input before the Commission adopts delegated acts.</t>
  </si>
  <si>
    <t>IM_C03_001</t>
  </si>
  <si>
    <t>border gatekeeping and information exchange</t>
  </si>
  <si>
    <t>Member State competent authorities; European Commission</t>
  </si>
  <si>
    <t>Operators; traders</t>
  </si>
  <si>
    <t>Use due-diligence status to suspend or release products and exchange enforcement information with competent authorities and the Commission.</t>
  </si>
  <si>
    <t>IM_C03_002</t>
  </si>
  <si>
    <t>formal reporting of substantiated concerns</t>
  </si>
  <si>
    <t>substantiated-concern reporting / enforcement trigger</t>
  </si>
  <si>
    <t>Submit formally recognised evidence of possible non-compliance that competent authorities must assess and may investigate.</t>
  </si>
  <si>
    <t>IM_C03_003</t>
  </si>
  <si>
    <t>legality licensing/certification</t>
  </si>
  <si>
    <t>Operators; traders of FLEGT-licensed wood products</t>
  </si>
  <si>
    <t>Provide FLEGT licences that the EUDR recognises as satisfying the legality requirement for covered wood products.</t>
  </si>
  <si>
    <t>IM_C03_004</t>
  </si>
  <si>
    <t>relation_id</t>
  </si>
  <si>
    <t>relation_type</t>
  </si>
  <si>
    <t>regulator</t>
  </si>
  <si>
    <t>intermediary</t>
  </si>
  <si>
    <t>target</t>
  </si>
  <si>
    <t>regulatory_action</t>
  </si>
  <si>
    <t>source_anchor</t>
  </si>
  <si>
    <t>evidence_summary</t>
  </si>
  <si>
    <t>Member States; relevant Union institutions</t>
  </si>
  <si>
    <t>Establish binding Union climate-neutrality and 2030 mitigation objectives and require implementation measures.</t>
  </si>
  <si>
    <t>none</t>
  </si>
  <si>
    <t>binding target-setting / standard-setting</t>
  </si>
  <si>
    <t>The Regulation binds relevant Union institutions and Member States to take measures toward climate neutrality and fixes the Union 2030 emissions-reduction target.</t>
  </si>
  <si>
    <t>REL_C01_002</t>
  </si>
  <si>
    <t>Set the Union adaptation strategy and require Member States to adopt, implement and update national adaptation strategies and plans.</t>
  </si>
  <si>
    <t>standard-setting / reporting</t>
  </si>
  <si>
    <t>Article 5(2) and 5(4)</t>
  </si>
  <si>
    <t>Member States must adopt and implement national adaptation strategies and regularly update related information, taking the Union strategy into consideration.</t>
  </si>
  <si>
    <t>European Environment Agency (EEA); European Scientific Advisory Board on Climate Change</t>
  </si>
  <si>
    <t>Assess collective progress and consistency of national measures and, where appropriate, issue recommendations.</t>
  </si>
  <si>
    <t>Scientific/technical reporting and assessment support integrated into Commission oversight.</t>
  </si>
  <si>
    <t>reporting / assessment support / scientific expertise</t>
  </si>
  <si>
    <t>Articles 7, 8(3)(b) and 8(4)</t>
  </si>
  <si>
    <t>Commission assessments of Member State progress and measures are expressly based on EEA and Advisory Board reports; the EEA also assists preparation of those assessments.</t>
  </si>
  <si>
    <t>Prepare the 2040 climate-target proposal and projected greenhouse-gas budget using independent scientific input.</t>
  </si>
  <si>
    <t>Scientific advice shaping the Commission's formulation of future Union climate targets and budgets.</t>
  </si>
  <si>
    <t>Article 4(3)–(5)</t>
  </si>
  <si>
    <t>The Commission must take the Advisory Board's advice into account when preparing the projected Union greenhouse-gas budget and the 2040 target proposal.</t>
  </si>
  <si>
    <t>Adopt implementing acts specifying the structure, format, technical details and process for Member State reporting.</t>
  </si>
  <si>
    <t>Comitology assistance to the Commission in the adoption of binding implementing rules.</t>
  </si>
  <si>
    <t>Article 13(b), amending Regulation (EU) 2018/1999</t>
  </si>
  <si>
    <t>The Commission adopts implementing acts while assisted by the Energy Union Committee, with the acts governing Member State reporting arrangements.</t>
  </si>
  <si>
    <t>Require independent verification of declared embedded emissions and use verified declarations for CBAM compliance review.</t>
  </si>
  <si>
    <t>Independent verification of embedded-emissions data reported by declarants.</t>
  </si>
  <si>
    <t>Articles 6(2)(d) and 8(1)–(3)</t>
  </si>
  <si>
    <t>Declared embedded emissions must be verified by an accredited verifier under the Regulation's verification principles.</t>
  </si>
  <si>
    <t>Structure and oversee the accreditation of persons that verify CBAM emissions declarations.</t>
  </si>
  <si>
    <t>Accreditation and institutional oversight of verifiers.</t>
  </si>
  <si>
    <t>Article 18(1)–(3)</t>
  </si>
  <si>
    <t>National accreditation bodies may accredit persons as CBAM verifiers, within conditions and oversight requirements established under the Regulation.</t>
  </si>
  <si>
    <t>Control import entry, verify declarant status and transmit customs information supporting CBAM compliance review and risk controls.</t>
  </si>
  <si>
    <t>Border gatekeeping and regulatory information transmission.</t>
  </si>
  <si>
    <t>Articles 19(2)–(3) and 25(1)–(4)</t>
  </si>
  <si>
    <t>Customs authorities restrict importation to authorised declarants and transmit import information that supports Commission and competent-authority compliance review.</t>
  </si>
  <si>
    <t>REL_C02_004</t>
  </si>
  <si>
    <t>Authorise declarants, administer registration, review declarations and monitor certificate surrender.</t>
  </si>
  <si>
    <t>authorisation / registry / compliance administration</t>
  </si>
  <si>
    <t>Articles 4, 17, 19 and 22</t>
  </si>
  <si>
    <t>The Regulation creates a direct administrative and supervisory relationship between EU/Member State authorities and authorised CBAM declarants.</t>
  </si>
  <si>
    <t>Authorised CBAM declarants; persons introducing goods without authorisation</t>
  </si>
  <si>
    <t>Impose penalties for failures to comply with certificate-surrender and authorisation requirements.</t>
  </si>
  <si>
    <t>enforcement / penalties</t>
  </si>
  <si>
    <t>Article 26(1)–(6)</t>
  </si>
  <si>
    <t>Competent authorities impose monetary penalties for specified CBAM non-compliance and unauthorised introduction of goods.</t>
  </si>
  <si>
    <t>Register third-country operators and installations and structure the use of installation-level embedded-emissions information.</t>
  </si>
  <si>
    <t>registration / emissions-information governance</t>
  </si>
  <si>
    <t>Article 10(1)–(8)</t>
  </si>
  <si>
    <t>The Commission registers eligible third-country operators and installations in the CBAM registry for use of installation emissions information.</t>
  </si>
  <si>
    <t>Assess roadmaps, reports and implementation conditions for granting, maintaining or withdrawing an electricity-market exemption.</t>
  </si>
  <si>
    <t>conditional exemption / monitoring</t>
  </si>
  <si>
    <t>The Commission assesses compliance with the Regulation's conditions for electricity-related exemptions and may remove an exemption when conditions cease to be met.</t>
  </si>
  <si>
    <t>Adopt implementing measures under the committee examination procedure for operational CBAM requirements.</t>
  </si>
  <si>
    <t>Comitology assistance to the Commission in adopting implementing acts.</t>
  </si>
  <si>
    <t>Article 29(1)–(2)</t>
  </si>
  <si>
    <t>The Commission is assisted by the CBAM Committee under the Regulation's committee procedure when adopting implementing acts.</t>
  </si>
  <si>
    <t>Develop delegated rules affecting CBAM scope, calculation, verification and anti-circumvention requirements.</t>
  </si>
  <si>
    <t>Formal expert consultation feeding delegated rule-making.</t>
  </si>
  <si>
    <t>Before adopting delegated acts, the Commission must consult experts designated by each Member State.</t>
  </si>
  <si>
    <t>REL_C03_001</t>
  </si>
  <si>
    <t>Require due diligence and compliance for products placed on, made available on, or exported from the Union market, backed by official checks.</t>
  </si>
  <si>
    <t>due diligence / supervision / enforcement</t>
  </si>
  <si>
    <t>Articles 3, 4 and 16</t>
  </si>
  <si>
    <t>Operators and traders are directly subject to due-diligence and market-access obligations, while competent authorities conduct checks to establish compliance.</t>
  </si>
  <si>
    <t>Control customs release using due-diligence-statement status and exchange information supporting enforcement of the market-access rules.</t>
  </si>
  <si>
    <t>Border gatekeeping and regulatory information exchange.</t>
  </si>
  <si>
    <t>Articles 26(3)–(9) and 27</t>
  </si>
  <si>
    <t>Customs authorities use due-diligence status to suspend or release products and cooperate with competent authorities and the Commission through information exchange.</t>
  </si>
  <si>
    <t>Member States; third countries or parts thereof</t>
  </si>
  <si>
    <t>Classify countries or parts thereof by deforestation risk and structure cooperation and dialogue associated with the benchmarking system.</t>
  </si>
  <si>
    <t>risk classification / coordination</t>
  </si>
  <si>
    <t>The Commission maintains the country-risk classification by implementing acts and may engage in cooperation and dialogue relevant to risk reduction.</t>
  </si>
  <si>
    <t>Trigger assessment and potential checks or interim measures through formally submitted substantiated concerns about non-compliance.</t>
  </si>
  <si>
    <t>Formal evidence-based reporting that activates supervisory assessment.</t>
  </si>
  <si>
    <t>Article 31(1)–(2)</t>
  </si>
  <si>
    <t>Natural or legal persons may submit substantiated concerns, which competent authorities must assess and may follow with checks, hearings or interim measures.</t>
  </si>
  <si>
    <t>Use a valid FLEGT licence as legally recognised evidence of compliance with the legality condition for covered wood products.</t>
  </si>
  <si>
    <t>Third-party licensing/certification of legality incorporated into the EUDR compliance framework.</t>
  </si>
  <si>
    <t>Wood products covered by a valid FLEGT licence from an operational licensing scheme are deemed to satisfy the EUDR legality requirement.</t>
  </si>
  <si>
    <t>Adopt implementing acts governing operational aspects of the Regulation through the committee examination procedure.</t>
  </si>
  <si>
    <t>Article 36(1)–(2)</t>
  </si>
  <si>
    <t>The Commission is assisted by a committee under the Regulation's committee procedure for implementing acts.</t>
  </si>
  <si>
    <t>category</t>
  </si>
  <si>
    <t>field_or_sheet</t>
  </si>
  <si>
    <t>definition</t>
  </si>
  <si>
    <t>Dataset structure</t>
  </si>
  <si>
    <t>ACT_SUMMARY</t>
  </si>
  <si>
    <t>One row per legal act; overview of final relation and intermediary architecture.</t>
  </si>
  <si>
    <t>ACTOR_ROLE_MAP</t>
  </si>
  <si>
    <t>One row per Case × normalized Actor × Role (R, I or T). Roles are relational and may differ across cases or regulatory contexts.</t>
  </si>
  <si>
    <t>INTERMEDIARY_MAP</t>
  </si>
  <si>
    <t>One row per intermediary actor × intermediary function/mechanism within a case. The same intermediary may have more than one function.</t>
  </si>
  <si>
    <t>RELATION_EVIDENCE</t>
  </si>
  <si>
    <t>One row per final accepted regulatory episode/relation. This is the evidentiary layer supporting actor-role classifications.</t>
  </si>
  <si>
    <t>Core field</t>
  </si>
  <si>
    <t>R = regulator/rule-maker in the coded episode; I = intermediary; T = target/rule-taker.</t>
  </si>
  <si>
    <t>direct = R–T without intermediary; intermediated = R–I–T architecture supported by operative evidence.</t>
  </si>
  <si>
    <t>regulator-facing, target-facing, or bidirectional; none for direct relationships.</t>
  </si>
  <si>
    <t>Focal empirical family: reporting, certification, auditing, ranking/rating, other, or none.</t>
  </si>
  <si>
    <t>Fine-grained function/mechanism used to preserve substantive specificity beyond the focal mechanism families.</t>
  </si>
  <si>
    <t>Evidence rule</t>
  </si>
  <si>
    <t>Article-level operative legal location supporting the coding.</t>
  </si>
  <si>
    <t>Concise source-bounded summary of the operative legal basis. Recitals are not used as stand-alone positive evidence.</t>
  </si>
  <si>
    <t>Interpretive rule</t>
  </si>
  <si>
    <t>actor-in-role</t>
  </si>
  <si>
    <t>An actor is not permanently a regulator, intermediary or target. The role is assigned only within a specific act/regulatory context supported by relation evidence.</t>
  </si>
  <si>
    <t>regulator-facing intermediation</t>
  </si>
  <si>
    <t>An intermediary may act primarily toward the regulator if its function is institutionally integrated into the process through which R seeks to affect T.</t>
  </si>
  <si>
    <t>external influence</t>
  </si>
  <si>
    <t>Mere opinion, consultation, expertise or influence is insufficient unless integrated into the operative regulatory architecture.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</si>
</sst>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2"/>
      <color rgb="FF17365D"/>
      <name val="Carlito"/>
    </font>
    <font>
      <b/>
      <sz val="9"/>
      <color rgb="FF1F2937"/>
      <name val="Carlito"/>
    </font>
    <font>
      <b/>
      <sz val="11"/>
      <color rgb="FF1F2937"/>
      <name val="Carlito"/>
    </font>
    <font>
      <sz val="10"/>
      <name val="Carlito"/>
    </font>
    <font>
      <b/>
      <sz val="10"/>
      <color rgb="FFFFFFFF"/>
      <name val="Carlito"/>
    </font>
    <font>
      <b/>
      <sz val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7FAFC"/>
      </patternFill>
    </fill>
    <fill>
      <patternFill patternType="solid">
        <fgColor rgb="FFEEF4F8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F9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 applyAlignment="1">
      <alignment vertical="top" wrapText="1"/>
    </xf>
    <xf numFmtId="0" fontId="7" fillId="6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vertical="top" wrapText="1"/>
    </xf>
    <xf numFmtId="0" fontId="8" fillId="7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5" fillId="5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1F4E78"/>
      </font>
      <fill>
        <patternFill patternType="solid">
          <bgColor rgb="FFEAF2F8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SummaryTable" displayName="ActSummaryTable" ref="A1:N4" totalsRowShown="0">
  <tableColumns count="14">
    <tableColumn id="1" xr3:uid="{00000000-0010-0000-0000-000001000000}" name="case_id"/>
    <tableColumn id="2" xr3:uid="{00000000-0010-0000-0000-000002000000}" name="celex"/>
    <tableColumn id="3" xr3:uid="{00000000-0010-0000-0000-000003000000}" name="act_title"/>
    <tableColumn id="4" xr3:uid="{00000000-0010-0000-0000-000004000000}" name="domain"/>
    <tableColumn id="5" xr3:uid="{00000000-0010-0000-0000-000005000000}" name="source_url"/>
    <tableColumn id="6" xr3:uid="{00000000-0010-0000-0000-000006000000}" name="final_relations"/>
    <tableColumn id="7" xr3:uid="{00000000-0010-0000-0000-000007000000}" name="intermediated"/>
    <tableColumn id="8" xr3:uid="{00000000-0010-0000-0000-000008000000}" name="direct"/>
    <tableColumn id="9" xr3:uid="{00000000-0010-0000-0000-000009000000}" name="unique_intermediary_actors"/>
    <tableColumn id="10" xr3:uid="{00000000-0010-0000-0000-00000A000000}" name="regulator_facing_I"/>
    <tableColumn id="11" xr3:uid="{00000000-0010-0000-0000-00000B000000}" name="target_facing_I"/>
    <tableColumn id="12" xr3:uid="{00000000-0010-0000-0000-00000C000000}" name="bidirectional_I"/>
    <tableColumn id="13" xr3:uid="{00000000-0010-0000-0000-00000D000000}" name="intermediary_actors"/>
    <tableColumn id="14" xr3:uid="{00000000-0010-0000-0000-00000E000000}" name="mechanism_families_observ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torRoleTable" displayName="ActorRoleTable" ref="A1:N32" totalsRowShown="0">
  <tableColumns count="14">
    <tableColumn id="1" xr3:uid="{00000000-0010-0000-0100-000001000000}" name="actor_role_id"/>
    <tableColumn id="2" xr3:uid="{00000000-0010-0000-0100-000002000000}" name="case_id"/>
    <tableColumn id="3" xr3:uid="{00000000-0010-0000-0100-000003000000}" name="celex"/>
    <tableColumn id="4" xr3:uid="{00000000-0010-0000-0100-000004000000}" name="act_title"/>
    <tableColumn id="5" xr3:uid="{00000000-0010-0000-0100-000005000000}" name="actor"/>
    <tableColumn id="6" xr3:uid="{00000000-0010-0000-0100-000006000000}" name="actor_type"/>
    <tableColumn id="7" xr3:uid="{00000000-0010-0000-0100-000007000000}" name="governance_level"/>
    <tableColumn id="8" xr3:uid="{00000000-0010-0000-0100-000008000000}" name="role"/>
    <tableColumn id="9" xr3:uid="{00000000-0010-0000-0100-000009000000}" name="intermediation_orientation"/>
    <tableColumn id="10" xr3:uid="{00000000-0010-0000-0100-00000A000000}" name="primary_function"/>
    <tableColumn id="11" xr3:uid="{00000000-0010-0000-0100-00000B000000}" name="role_description"/>
    <tableColumn id="12" xr3:uid="{00000000-0010-0000-0100-00000C000000}" name="supporting_relation_ids"/>
    <tableColumn id="13" xr3:uid="{00000000-0010-0000-0100-00000D000000}" name="supporting_articles"/>
    <tableColumn id="14" xr3:uid="{00000000-0010-0000-0100-00000E000000}" name="source_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termediaryMapTable" displayName="IntermediaryMapTable" ref="A1:O14" totalsRowShown="0">
  <tableColumns count="15">
    <tableColumn id="1" xr3:uid="{00000000-0010-0000-0200-000001000000}" name="intermediary_record_id"/>
    <tableColumn id="2" xr3:uid="{00000000-0010-0000-0200-000002000000}" name="case_id"/>
    <tableColumn id="3" xr3:uid="{00000000-0010-0000-0200-000003000000}" name="celex"/>
    <tableColumn id="4" xr3:uid="{00000000-0010-0000-0200-000004000000}" name="act_title"/>
    <tableColumn id="5" xr3:uid="{00000000-0010-0000-0200-000005000000}" name="intermediary_actor"/>
    <tableColumn id="6" xr3:uid="{00000000-0010-0000-0200-000006000000}" name="orientation"/>
    <tableColumn id="7" xr3:uid="{00000000-0010-0000-0200-000007000000}" name="intermediary_function"/>
    <tableColumn id="8" xr3:uid="{00000000-0010-0000-0200-000008000000}" name="mechanism_family"/>
    <tableColumn id="9" xr3:uid="{00000000-0010-0000-0200-000009000000}" name="mechanism_detail"/>
    <tableColumn id="10" xr3:uid="{00000000-0010-0000-0200-00000A000000}" name="regulator_context"/>
    <tableColumn id="11" xr3:uid="{00000000-0010-0000-0200-00000B000000}" name="target_context"/>
    <tableColumn id="12" xr3:uid="{00000000-0010-0000-0200-00000C000000}" name="supporting_relation_ids"/>
    <tableColumn id="13" xr3:uid="{00000000-0010-0000-0200-00000D000000}" name="supporting_articles"/>
    <tableColumn id="14" xr3:uid="{00000000-0010-0000-0200-00000E000000}" name="function_description"/>
    <tableColumn id="15" xr3:uid="{00000000-0010-0000-0200-00000F000000}" name="source_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lationEvidenceTable" displayName="RelationEvidenceTable" ref="A1:P21" totalsRowShown="0">
  <tableColumns count="16">
    <tableColumn id="1" xr3:uid="{00000000-0010-0000-0300-000001000000}" name="relation_id"/>
    <tableColumn id="2" xr3:uid="{00000000-0010-0000-0300-000002000000}" name="case_id"/>
    <tableColumn id="3" xr3:uid="{00000000-0010-0000-0300-000003000000}" name="celex"/>
    <tableColumn id="4" xr3:uid="{00000000-0010-0000-0300-000004000000}" name="act_title"/>
    <tableColumn id="5" xr3:uid="{00000000-0010-0000-0300-000005000000}" name="relation_type"/>
    <tableColumn id="6" xr3:uid="{00000000-0010-0000-0300-000006000000}" name="regulator"/>
    <tableColumn id="7" xr3:uid="{00000000-0010-0000-0300-000007000000}" name="intermediary"/>
    <tableColumn id="8" xr3:uid="{00000000-0010-0000-0300-000008000000}" name="target"/>
    <tableColumn id="9" xr3:uid="{00000000-0010-0000-0300-000009000000}" name="regulatory_action"/>
    <tableColumn id="10" xr3:uid="{00000000-0010-0000-0300-00000A000000}" name="intermediary_function"/>
    <tableColumn id="11" xr3:uid="{00000000-0010-0000-0300-00000B000000}" name="intermediation_orientation"/>
    <tableColumn id="12" xr3:uid="{00000000-0010-0000-0300-00000C000000}" name="mechanism_family"/>
    <tableColumn id="13" xr3:uid="{00000000-0010-0000-0300-00000D000000}" name="mechanism_detail"/>
    <tableColumn id="14" xr3:uid="{00000000-0010-0000-0300-00000E000000}" name="source_anchor"/>
    <tableColumn id="15" xr3:uid="{00000000-0010-0000-0300-00000F000000}" name="evidence_summary"/>
    <tableColumn id="16" xr3:uid="{00000000-0010-0000-0300-000010000000}" name="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DictionaryTable" displayName="DataDictionaryTable" ref="A1:C15" totalsRowShown="0">
  <tableColumns count="3">
    <tableColumn id="1" xr3:uid="{00000000-0010-0000-0400-000001000000}" name="category"/>
    <tableColumn id="2" xr3:uid="{00000000-0010-0000-0400-000002000000}" name="field_or_sheet"/>
    <tableColumn id="3" xr3:uid="{00000000-0010-0000-0400-000003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8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368F06-9FE3-4B05-8D47-F3305ACAA72E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36ac3eed-83af-4e33-b978-37dba56b06c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opLeftCell="A6" zoomScale="130" zoomScaleNormal="130" workbookViewId="0">
      <selection sqref="A1:H2"/>
    </sheetView>
  </sheetViews>
  <sheetFormatPr defaultRowHeight="14.25"/>
  <cols>
    <col min="1" max="1" width="18" customWidth="1"/>
    <col min="2" max="2" width="22" customWidth="1"/>
    <col min="3" max="3" width="28" customWidth="1"/>
    <col min="4" max="4" width="24" customWidth="1"/>
    <col min="5" max="7" width="14" customWidth="1"/>
    <col min="8" max="8" width="38" customWidth="1"/>
  </cols>
  <sheetData>
    <row r="1" spans="1:8" ht="27.95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 ht="27.95" customHeight="1">
      <c r="A2" s="9"/>
      <c r="B2" s="9"/>
      <c r="C2" s="9"/>
      <c r="D2" s="9"/>
      <c r="E2" s="9"/>
      <c r="F2" s="9"/>
      <c r="G2" s="9"/>
      <c r="H2" s="9"/>
    </row>
    <row r="4" spans="1:8" ht="33.950000000000003" customHeight="1">
      <c r="A4" s="10" t="s">
        <v>1</v>
      </c>
      <c r="B4" s="10"/>
      <c r="C4" s="10"/>
      <c r="D4" s="10"/>
      <c r="E4" s="10"/>
      <c r="F4" s="10"/>
      <c r="G4" s="10"/>
      <c r="H4" s="10"/>
    </row>
    <row r="6" spans="1:8" ht="15.75">
      <c r="A6" s="11">
        <f>COUNTA(ACT_SUMMARY!A2:A4)</f>
        <v>3</v>
      </c>
      <c r="B6" s="11"/>
      <c r="C6" s="11">
        <f>SUM(ACT_SUMMARY!F2:F4)</f>
        <v>20</v>
      </c>
      <c r="D6" s="11"/>
      <c r="E6" s="11">
        <f>SUM(ACT_SUMMARY!G2:G4)</f>
        <v>12</v>
      </c>
      <c r="F6" s="11"/>
      <c r="G6" s="11">
        <f>SUM(ACT_SUMMARY!I2:I4)</f>
        <v>12</v>
      </c>
      <c r="H6" s="11"/>
    </row>
    <row r="7" spans="1:8">
      <c r="A7" s="8" t="s">
        <v>2</v>
      </c>
      <c r="B7" s="8"/>
      <c r="C7" s="8" t="s">
        <v>3</v>
      </c>
      <c r="D7" s="8"/>
      <c r="E7" s="8" t="s">
        <v>4</v>
      </c>
      <c r="F7" s="8"/>
      <c r="G7" s="8" t="s">
        <v>5</v>
      </c>
      <c r="H7" s="8"/>
    </row>
    <row r="9" spans="1:8" ht="15">
      <c r="A9" s="7" t="s">
        <v>6</v>
      </c>
      <c r="B9" s="7"/>
      <c r="C9" s="7"/>
      <c r="D9" s="7"/>
      <c r="E9" s="7"/>
      <c r="F9" s="7"/>
      <c r="G9" s="7"/>
      <c r="H9" s="7"/>
    </row>
    <row r="10" spans="1:8">
      <c r="A10" s="3" t="s">
        <v>7</v>
      </c>
      <c r="B10" s="3" t="s">
        <v>8</v>
      </c>
    </row>
    <row r="11" spans="1:8">
      <c r="A11" s="4" t="s">
        <v>9</v>
      </c>
      <c r="B11" s="6" t="s">
        <v>10</v>
      </c>
      <c r="C11" s="6"/>
      <c r="D11" s="6"/>
      <c r="E11" s="6"/>
      <c r="F11" s="6"/>
      <c r="G11" s="6"/>
      <c r="H11" s="6"/>
    </row>
    <row r="12" spans="1:8">
      <c r="A12" s="4" t="s">
        <v>11</v>
      </c>
      <c r="B12" s="6" t="s">
        <v>12</v>
      </c>
      <c r="C12" s="6"/>
      <c r="D12" s="6"/>
      <c r="E12" s="6"/>
      <c r="F12" s="6"/>
      <c r="G12" s="6"/>
      <c r="H12" s="6"/>
    </row>
    <row r="13" spans="1:8">
      <c r="A13" s="4" t="s">
        <v>13</v>
      </c>
      <c r="B13" s="6" t="s">
        <v>14</v>
      </c>
      <c r="C13" s="6"/>
      <c r="D13" s="6"/>
      <c r="E13" s="6"/>
      <c r="F13" s="6"/>
      <c r="G13" s="6"/>
      <c r="H13" s="6"/>
    </row>
    <row r="15" spans="1:8" ht="15">
      <c r="A15" s="7" t="s">
        <v>15</v>
      </c>
      <c r="B15" s="7"/>
      <c r="C15" s="7"/>
      <c r="D15" s="7"/>
      <c r="E15" s="7"/>
      <c r="F15" s="7"/>
      <c r="G15" s="7"/>
      <c r="H15" s="7"/>
    </row>
    <row r="16" spans="1:8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3</v>
      </c>
      <c r="F16" s="3" t="s">
        <v>20</v>
      </c>
      <c r="G16" s="3" t="s">
        <v>21</v>
      </c>
      <c r="H16" s="3" t="s">
        <v>22</v>
      </c>
    </row>
    <row r="17" spans="1:8" ht="25.5">
      <c r="A17" s="1" t="s">
        <v>23</v>
      </c>
      <c r="B17" s="1" t="s">
        <v>24</v>
      </c>
      <c r="C17" s="1" t="s">
        <v>25</v>
      </c>
      <c r="D17" s="1" t="s">
        <v>26</v>
      </c>
      <c r="E17" s="1">
        <f>ACT_SUMMARY!F2</f>
        <v>5</v>
      </c>
      <c r="F17" s="1">
        <f>ACT_SUMMARY!G2</f>
        <v>3</v>
      </c>
      <c r="G17" s="1">
        <f>ACT_SUMMARY!H2</f>
        <v>2</v>
      </c>
      <c r="H17" s="1" t="s">
        <v>27</v>
      </c>
    </row>
    <row r="18" spans="1:8" ht="38.25">
      <c r="A18" s="1" t="s">
        <v>28</v>
      </c>
      <c r="B18" s="1" t="s">
        <v>29</v>
      </c>
      <c r="C18" s="1" t="s">
        <v>30</v>
      </c>
      <c r="D18" s="1" t="s">
        <v>31</v>
      </c>
      <c r="E18" s="1">
        <f>ACT_SUMMARY!F3</f>
        <v>9</v>
      </c>
      <c r="F18" s="1">
        <f>ACT_SUMMARY!G3</f>
        <v>5</v>
      </c>
      <c r="G18" s="1">
        <f>ACT_SUMMARY!H3</f>
        <v>4</v>
      </c>
      <c r="H18" s="1" t="s">
        <v>32</v>
      </c>
    </row>
    <row r="19" spans="1:8" ht="38.25">
      <c r="A19" s="1" t="s">
        <v>33</v>
      </c>
      <c r="B19" s="1" t="s">
        <v>34</v>
      </c>
      <c r="C19" s="1" t="s">
        <v>35</v>
      </c>
      <c r="D19" s="1" t="s">
        <v>36</v>
      </c>
      <c r="E19" s="1">
        <f>ACT_SUMMARY!F4</f>
        <v>6</v>
      </c>
      <c r="F19" s="1">
        <f>ACT_SUMMARY!G4</f>
        <v>4</v>
      </c>
      <c r="G19" s="1">
        <f>ACT_SUMMARY!H4</f>
        <v>2</v>
      </c>
      <c r="H19" s="1" t="s">
        <v>37</v>
      </c>
    </row>
    <row r="21" spans="1:8" ht="15">
      <c r="A21" s="7" t="s">
        <v>38</v>
      </c>
      <c r="B21" s="7"/>
      <c r="C21" s="7"/>
      <c r="D21" s="7"/>
      <c r="E21" s="7"/>
      <c r="F21" s="7"/>
      <c r="G21" s="7"/>
      <c r="H21" s="7"/>
    </row>
    <row r="22" spans="1:8">
      <c r="A22" s="3" t="s">
        <v>39</v>
      </c>
      <c r="B22" s="3" t="s">
        <v>40</v>
      </c>
    </row>
    <row r="23" spans="1:8">
      <c r="A23" s="1" t="s">
        <v>41</v>
      </c>
      <c r="B23" s="6" t="s">
        <v>42</v>
      </c>
      <c r="C23" s="6"/>
      <c r="D23" s="6"/>
      <c r="E23" s="6"/>
      <c r="F23" s="6"/>
      <c r="G23" s="6"/>
      <c r="H23" s="6"/>
    </row>
    <row r="24" spans="1:8">
      <c r="A24" s="1" t="s">
        <v>43</v>
      </c>
      <c r="B24" s="6" t="s">
        <v>44</v>
      </c>
      <c r="C24" s="6"/>
      <c r="D24" s="6"/>
      <c r="E24" s="6"/>
      <c r="F24" s="6"/>
      <c r="G24" s="6"/>
      <c r="H24" s="6"/>
    </row>
    <row r="25" spans="1:8">
      <c r="A25" s="1" t="s">
        <v>45</v>
      </c>
      <c r="B25" s="6" t="s">
        <v>46</v>
      </c>
      <c r="C25" s="6"/>
      <c r="D25" s="6"/>
      <c r="E25" s="6"/>
      <c r="F25" s="6"/>
      <c r="G25" s="6"/>
      <c r="H25" s="6"/>
    </row>
    <row r="26" spans="1:8">
      <c r="A26" s="5" t="s">
        <v>47</v>
      </c>
      <c r="B26" s="6" t="s">
        <v>48</v>
      </c>
      <c r="C26" s="6"/>
      <c r="D26" s="6"/>
      <c r="E26" s="6"/>
      <c r="F26" s="6"/>
      <c r="G26" s="6"/>
      <c r="H26" s="6"/>
    </row>
    <row r="27" spans="1:8">
      <c r="A27" s="5" t="s">
        <v>49</v>
      </c>
      <c r="B27" s="6" t="s">
        <v>50</v>
      </c>
      <c r="C27" s="6"/>
      <c r="D27" s="6"/>
      <c r="E27" s="6"/>
      <c r="F27" s="6"/>
      <c r="G27" s="6"/>
      <c r="H27" s="6"/>
    </row>
  </sheetData>
  <mergeCells count="21">
    <mergeCell ref="A1:H2"/>
    <mergeCell ref="A4:H4"/>
    <mergeCell ref="A6:B6"/>
    <mergeCell ref="C6:D6"/>
    <mergeCell ref="E6:F6"/>
    <mergeCell ref="G6:H6"/>
    <mergeCell ref="A7:B7"/>
    <mergeCell ref="C7:D7"/>
    <mergeCell ref="E7:F7"/>
    <mergeCell ref="G7:H7"/>
    <mergeCell ref="A9:H9"/>
    <mergeCell ref="B11:H11"/>
    <mergeCell ref="B12:H12"/>
    <mergeCell ref="B13:H13"/>
    <mergeCell ref="A15:H15"/>
    <mergeCell ref="A21:H21"/>
    <mergeCell ref="B23:H23"/>
    <mergeCell ref="B24:H24"/>
    <mergeCell ref="B25:H25"/>
    <mergeCell ref="B26:H26"/>
    <mergeCell ref="B27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zoomScale="115" zoomScaleNormal="115" workbookViewId="0"/>
  </sheetViews>
  <sheetFormatPr defaultRowHeight="14.25"/>
  <cols>
    <col min="1" max="1" width="10" customWidth="1"/>
    <col min="2" max="2" width="13" customWidth="1"/>
    <col min="3" max="3" width="34" customWidth="1"/>
    <col min="4" max="4" width="28" customWidth="1"/>
    <col min="5" max="5" width="42" customWidth="1"/>
    <col min="6" max="7" width="13" customWidth="1"/>
    <col min="8" max="8" width="10" customWidth="1"/>
    <col min="9" max="10" width="16" customWidth="1"/>
    <col min="11" max="12" width="15" customWidth="1"/>
    <col min="13" max="13" width="56" customWidth="1"/>
    <col min="14" max="14" width="28" customWidth="1"/>
  </cols>
  <sheetData>
    <row r="1" spans="1:14" ht="33.950000000000003" customHeight="1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</row>
    <row r="2" spans="1:14" ht="42" customHeight="1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f>COUNTIF(RELATION_EVIDENCE!$B$2:$B$21,$A2)</f>
        <v>5</v>
      </c>
      <c r="G2" s="1">
        <f>COUNTIFS(RELATION_EVIDENCE!$B$2:$B$21,$A2,RELATION_EVIDENCE!$E$2:$E$21,"intermediated")</f>
        <v>3</v>
      </c>
      <c r="H2" s="1">
        <f>COUNTIFS(RELATION_EVIDENCE!$B$2:$B$21,$A2,RELATION_EVIDENCE!$E$2:$E$21,"direct")</f>
        <v>2</v>
      </c>
      <c r="I2" s="1">
        <f>COUNTIFS(ACTOR_ROLE_MAP!$B$2:$B$32,$A2,ACTOR_ROLE_MAP!$H$2:$H$32,"I")</f>
        <v>3</v>
      </c>
      <c r="J2" s="1">
        <f>COUNTIFS(ACTOR_ROLE_MAP!$B$2:$B$32,$A2,ACTOR_ROLE_MAP!$H$2:$H$32,"I",ACTOR_ROLE_MAP!$I$2:$I$32,"regulator-facing")</f>
        <v>3</v>
      </c>
      <c r="K2" s="1">
        <f>COUNTIFS(ACTOR_ROLE_MAP!$B$2:$B$32,$A2,ACTOR_ROLE_MAP!$H$2:$H$32,"I",ACTOR_ROLE_MAP!$I$2:$I$32,"target-facing")</f>
        <v>0</v>
      </c>
      <c r="L2" s="1">
        <f>COUNTIFS(ACTOR_ROLE_MAP!$B$2:$B$32,$A2,ACTOR_ROLE_MAP!$H$2:$H$32,"I",ACTOR_ROLE_MAP!$I$2:$I$32,"bidirectional")</f>
        <v>0</v>
      </c>
      <c r="M2" s="1" t="s">
        <v>65</v>
      </c>
      <c r="N2" s="1" t="s">
        <v>66</v>
      </c>
    </row>
    <row r="3" spans="1:14" ht="42" customHeight="1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>
        <f>COUNTIF(RELATION_EVIDENCE!$B$2:$B$21,$A3)</f>
        <v>9</v>
      </c>
      <c r="G3" s="1">
        <f>COUNTIFS(RELATION_EVIDENCE!$B$2:$B$21,$A3,RELATION_EVIDENCE!$E$2:$E$21,"intermediated")</f>
        <v>5</v>
      </c>
      <c r="H3" s="1">
        <f>COUNTIFS(RELATION_EVIDENCE!$B$2:$B$21,$A3,RELATION_EVIDENCE!$E$2:$E$21,"direct")</f>
        <v>4</v>
      </c>
      <c r="I3" s="1">
        <f>COUNTIFS(ACTOR_ROLE_MAP!$B$2:$B$32,$A3,ACTOR_ROLE_MAP!$H$2:$H$32,"I")</f>
        <v>5</v>
      </c>
      <c r="J3" s="1">
        <f>COUNTIFS(ACTOR_ROLE_MAP!$B$2:$B$32,$A3,ACTOR_ROLE_MAP!$H$2:$H$32,"I",ACTOR_ROLE_MAP!$I$2:$I$32,"regulator-facing")</f>
        <v>2</v>
      </c>
      <c r="K3" s="1">
        <f>COUNTIFS(ACTOR_ROLE_MAP!$B$2:$B$32,$A3,ACTOR_ROLE_MAP!$H$2:$H$32,"I",ACTOR_ROLE_MAP!$I$2:$I$32,"target-facing")</f>
        <v>1</v>
      </c>
      <c r="L3" s="1">
        <f>COUNTIFS(ACTOR_ROLE_MAP!$B$2:$B$32,$A3,ACTOR_ROLE_MAP!$H$2:$H$32,"I",ACTOR_ROLE_MAP!$I$2:$I$32,"bidirectional")</f>
        <v>2</v>
      </c>
      <c r="M3" s="1" t="s">
        <v>67</v>
      </c>
      <c r="N3" s="1" t="s">
        <v>68</v>
      </c>
    </row>
    <row r="4" spans="1:14" ht="42" customHeight="1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f>COUNTIF(RELATION_EVIDENCE!$B$2:$B$21,$A4)</f>
        <v>6</v>
      </c>
      <c r="G4" s="1">
        <f>COUNTIFS(RELATION_EVIDENCE!$B$2:$B$21,$A4,RELATION_EVIDENCE!$E$2:$E$21,"intermediated")</f>
        <v>4</v>
      </c>
      <c r="H4" s="1">
        <f>COUNTIFS(RELATION_EVIDENCE!$B$2:$B$21,$A4,RELATION_EVIDENCE!$E$2:$E$21,"direct")</f>
        <v>2</v>
      </c>
      <c r="I4" s="1">
        <f>COUNTIFS(ACTOR_ROLE_MAP!$B$2:$B$32,$A4,ACTOR_ROLE_MAP!$H$2:$H$32,"I")</f>
        <v>4</v>
      </c>
      <c r="J4" s="1">
        <f>COUNTIFS(ACTOR_ROLE_MAP!$B$2:$B$32,$A4,ACTOR_ROLE_MAP!$H$2:$H$32,"I",ACTOR_ROLE_MAP!$I$2:$I$32,"regulator-facing")</f>
        <v>2</v>
      </c>
      <c r="K4" s="1">
        <f>COUNTIFS(ACTOR_ROLE_MAP!$B$2:$B$32,$A4,ACTOR_ROLE_MAP!$H$2:$H$32,"I",ACTOR_ROLE_MAP!$I$2:$I$32,"target-facing")</f>
        <v>0</v>
      </c>
      <c r="L4" s="1">
        <f>COUNTIFS(ACTOR_ROLE_MAP!$B$2:$B$32,$A4,ACTOR_ROLE_MAP!$H$2:$H$32,"I",ACTOR_ROLE_MAP!$I$2:$I$32,"bidirectional")</f>
        <v>2</v>
      </c>
      <c r="M4" s="1" t="s">
        <v>69</v>
      </c>
      <c r="N4" s="1" t="s">
        <v>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2"/>
  <sheetViews>
    <sheetView workbookViewId="0"/>
  </sheetViews>
  <sheetFormatPr defaultRowHeight="14.25"/>
  <cols>
    <col min="1" max="1" width="15" customWidth="1"/>
    <col min="2" max="2" width="10" customWidth="1"/>
    <col min="3" max="3" width="13" customWidth="1"/>
    <col min="4" max="4" width="36" customWidth="1"/>
    <col min="5" max="5" width="32" customWidth="1"/>
    <col min="6" max="6" width="24" customWidth="1"/>
    <col min="7" max="7" width="18" customWidth="1"/>
    <col min="8" max="8" width="8" customWidth="1"/>
    <col min="9" max="9" width="20" customWidth="1"/>
    <col min="10" max="10" width="30" customWidth="1"/>
    <col min="11" max="11" width="46" customWidth="1"/>
    <col min="12" max="12" width="34" customWidth="1"/>
    <col min="13" max="13" width="26" customWidth="1"/>
    <col min="14" max="14" width="42" customWidth="1"/>
  </cols>
  <sheetData>
    <row r="1" spans="1:14" ht="33.950000000000003" customHeight="1">
      <c r="A1" s="2" t="s">
        <v>71</v>
      </c>
      <c r="B1" s="2" t="s">
        <v>51</v>
      </c>
      <c r="C1" s="2" t="s">
        <v>52</v>
      </c>
      <c r="D1" s="2" t="s">
        <v>53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55</v>
      </c>
    </row>
    <row r="2" spans="1:14" ht="42" customHeight="1">
      <c r="A2" s="1" t="s">
        <v>81</v>
      </c>
      <c r="B2" s="1" t="s">
        <v>23</v>
      </c>
      <c r="C2" s="1" t="s">
        <v>24</v>
      </c>
      <c r="D2" s="1" t="s">
        <v>25</v>
      </c>
      <c r="E2" s="1" t="s">
        <v>82</v>
      </c>
      <c r="F2" s="1" t="s">
        <v>83</v>
      </c>
      <c r="G2" s="1" t="s">
        <v>84</v>
      </c>
      <c r="H2" s="1" t="s">
        <v>85</v>
      </c>
      <c r="I2" s="1"/>
      <c r="J2" s="1"/>
      <c r="K2" s="1" t="s">
        <v>86</v>
      </c>
      <c r="L2" s="1" t="s">
        <v>87</v>
      </c>
      <c r="M2" s="1" t="s">
        <v>88</v>
      </c>
      <c r="N2" s="1" t="s">
        <v>27</v>
      </c>
    </row>
    <row r="3" spans="1:14" ht="42" customHeight="1">
      <c r="A3" s="1" t="s">
        <v>89</v>
      </c>
      <c r="B3" s="1" t="s">
        <v>23</v>
      </c>
      <c r="C3" s="1" t="s">
        <v>24</v>
      </c>
      <c r="D3" s="1" t="s">
        <v>25</v>
      </c>
      <c r="E3" s="1" t="s">
        <v>90</v>
      </c>
      <c r="F3" s="1" t="s">
        <v>91</v>
      </c>
      <c r="G3" s="1" t="s">
        <v>84</v>
      </c>
      <c r="H3" s="1" t="s">
        <v>85</v>
      </c>
      <c r="I3" s="1"/>
      <c r="J3" s="1"/>
      <c r="K3" s="1" t="s">
        <v>92</v>
      </c>
      <c r="L3" s="1" t="s">
        <v>93</v>
      </c>
      <c r="M3" s="1" t="s">
        <v>94</v>
      </c>
      <c r="N3" s="1" t="s">
        <v>27</v>
      </c>
    </row>
    <row r="4" spans="1:14" ht="42" customHeight="1">
      <c r="A4" s="1" t="s">
        <v>95</v>
      </c>
      <c r="B4" s="1" t="s">
        <v>23</v>
      </c>
      <c r="C4" s="1" t="s">
        <v>24</v>
      </c>
      <c r="D4" s="1" t="s">
        <v>25</v>
      </c>
      <c r="E4" s="1" t="s">
        <v>96</v>
      </c>
      <c r="F4" s="1" t="s">
        <v>97</v>
      </c>
      <c r="G4" s="1" t="s">
        <v>84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27</v>
      </c>
    </row>
    <row r="5" spans="1:14" ht="42" customHeight="1">
      <c r="A5" s="1" t="s">
        <v>104</v>
      </c>
      <c r="B5" s="1" t="s">
        <v>23</v>
      </c>
      <c r="C5" s="1" t="s">
        <v>24</v>
      </c>
      <c r="D5" s="1" t="s">
        <v>25</v>
      </c>
      <c r="E5" s="1" t="s">
        <v>105</v>
      </c>
      <c r="F5" s="1" t="s">
        <v>106</v>
      </c>
      <c r="G5" s="1" t="s">
        <v>84</v>
      </c>
      <c r="H5" s="1" t="s">
        <v>98</v>
      </c>
      <c r="I5" s="1" t="s">
        <v>99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27</v>
      </c>
    </row>
    <row r="6" spans="1:14" ht="42" customHeight="1">
      <c r="A6" s="1" t="s">
        <v>111</v>
      </c>
      <c r="B6" s="1" t="s">
        <v>23</v>
      </c>
      <c r="C6" s="1" t="s">
        <v>24</v>
      </c>
      <c r="D6" s="1" t="s">
        <v>25</v>
      </c>
      <c r="E6" s="1" t="s">
        <v>112</v>
      </c>
      <c r="F6" s="1" t="s">
        <v>113</v>
      </c>
      <c r="G6" s="1" t="s">
        <v>84</v>
      </c>
      <c r="H6" s="1" t="s">
        <v>98</v>
      </c>
      <c r="I6" s="1" t="s">
        <v>99</v>
      </c>
      <c r="J6" s="1" t="s">
        <v>114</v>
      </c>
      <c r="K6" s="1" t="s">
        <v>115</v>
      </c>
      <c r="L6" s="1" t="s">
        <v>116</v>
      </c>
      <c r="M6" s="1" t="s">
        <v>117</v>
      </c>
      <c r="N6" s="1" t="s">
        <v>27</v>
      </c>
    </row>
    <row r="7" spans="1:14" ht="42" customHeight="1">
      <c r="A7" s="1" t="s">
        <v>118</v>
      </c>
      <c r="B7" s="1" t="s">
        <v>23</v>
      </c>
      <c r="C7" s="1" t="s">
        <v>24</v>
      </c>
      <c r="D7" s="1" t="s">
        <v>25</v>
      </c>
      <c r="E7" s="1" t="s">
        <v>119</v>
      </c>
      <c r="F7" s="1" t="s">
        <v>120</v>
      </c>
      <c r="G7" s="1" t="s">
        <v>121</v>
      </c>
      <c r="H7" s="1" t="s">
        <v>122</v>
      </c>
      <c r="I7" s="1"/>
      <c r="J7" s="1"/>
      <c r="K7" s="1" t="s">
        <v>123</v>
      </c>
      <c r="L7" s="1" t="s">
        <v>124</v>
      </c>
      <c r="M7" s="1" t="s">
        <v>125</v>
      </c>
      <c r="N7" s="1" t="s">
        <v>27</v>
      </c>
    </row>
    <row r="8" spans="1:14" ht="42" customHeight="1">
      <c r="A8" s="1" t="s">
        <v>126</v>
      </c>
      <c r="B8" s="1" t="s">
        <v>23</v>
      </c>
      <c r="C8" s="1" t="s">
        <v>24</v>
      </c>
      <c r="D8" s="1" t="s">
        <v>25</v>
      </c>
      <c r="E8" s="1" t="s">
        <v>127</v>
      </c>
      <c r="F8" s="1" t="s">
        <v>128</v>
      </c>
      <c r="G8" s="1" t="s">
        <v>84</v>
      </c>
      <c r="H8" s="1" t="s">
        <v>122</v>
      </c>
      <c r="I8" s="1"/>
      <c r="J8" s="1"/>
      <c r="K8" s="1" t="s">
        <v>129</v>
      </c>
      <c r="L8" s="1" t="s">
        <v>87</v>
      </c>
      <c r="M8" s="1" t="s">
        <v>130</v>
      </c>
      <c r="N8" s="1" t="s">
        <v>27</v>
      </c>
    </row>
    <row r="9" spans="1:14" ht="42" customHeight="1">
      <c r="A9" s="1" t="s">
        <v>131</v>
      </c>
      <c r="B9" s="1" t="s">
        <v>28</v>
      </c>
      <c r="C9" s="1" t="s">
        <v>29</v>
      </c>
      <c r="D9" s="1" t="s">
        <v>30</v>
      </c>
      <c r="E9" s="1" t="s">
        <v>90</v>
      </c>
      <c r="F9" s="1" t="s">
        <v>91</v>
      </c>
      <c r="G9" s="1" t="s">
        <v>84</v>
      </c>
      <c r="H9" s="1" t="s">
        <v>85</v>
      </c>
      <c r="I9" s="1"/>
      <c r="J9" s="1"/>
      <c r="K9" s="1" t="s">
        <v>132</v>
      </c>
      <c r="L9" s="1" t="s">
        <v>133</v>
      </c>
      <c r="M9" s="1" t="s">
        <v>134</v>
      </c>
      <c r="N9" s="1" t="s">
        <v>32</v>
      </c>
    </row>
    <row r="10" spans="1:14" ht="42" customHeight="1">
      <c r="A10" s="1" t="s">
        <v>135</v>
      </c>
      <c r="B10" s="1" t="s">
        <v>28</v>
      </c>
      <c r="C10" s="1" t="s">
        <v>29</v>
      </c>
      <c r="D10" s="1" t="s">
        <v>30</v>
      </c>
      <c r="E10" s="1" t="s">
        <v>136</v>
      </c>
      <c r="F10" s="1" t="s">
        <v>137</v>
      </c>
      <c r="G10" s="1" t="s">
        <v>121</v>
      </c>
      <c r="H10" s="1" t="s">
        <v>85</v>
      </c>
      <c r="I10" s="1"/>
      <c r="J10" s="1"/>
      <c r="K10" s="1" t="s">
        <v>138</v>
      </c>
      <c r="L10" s="1" t="s">
        <v>139</v>
      </c>
      <c r="M10" s="1" t="s">
        <v>140</v>
      </c>
      <c r="N10" s="1" t="s">
        <v>32</v>
      </c>
    </row>
    <row r="11" spans="1:14" ht="42" customHeight="1">
      <c r="A11" s="1" t="s">
        <v>141</v>
      </c>
      <c r="B11" s="1" t="s">
        <v>28</v>
      </c>
      <c r="C11" s="1" t="s">
        <v>29</v>
      </c>
      <c r="D11" s="1" t="s">
        <v>30</v>
      </c>
      <c r="E11" s="1" t="s">
        <v>142</v>
      </c>
      <c r="F11" s="1" t="s">
        <v>143</v>
      </c>
      <c r="G11" s="1" t="s">
        <v>144</v>
      </c>
      <c r="H11" s="1" t="s">
        <v>98</v>
      </c>
      <c r="I11" s="1" t="s">
        <v>145</v>
      </c>
      <c r="J11" s="1" t="s">
        <v>146</v>
      </c>
      <c r="K11" s="1" t="s">
        <v>147</v>
      </c>
      <c r="L11" s="1" t="s">
        <v>148</v>
      </c>
      <c r="M11" s="1" t="s">
        <v>149</v>
      </c>
      <c r="N11" s="1" t="s">
        <v>32</v>
      </c>
    </row>
    <row r="12" spans="1:14" ht="42" customHeight="1">
      <c r="A12" s="1" t="s">
        <v>150</v>
      </c>
      <c r="B12" s="1" t="s">
        <v>28</v>
      </c>
      <c r="C12" s="1" t="s">
        <v>29</v>
      </c>
      <c r="D12" s="1" t="s">
        <v>30</v>
      </c>
      <c r="E12" s="1" t="s">
        <v>151</v>
      </c>
      <c r="F12" s="1" t="s">
        <v>152</v>
      </c>
      <c r="G12" s="1" t="s">
        <v>121</v>
      </c>
      <c r="H12" s="1" t="s">
        <v>98</v>
      </c>
      <c r="I12" s="1" t="s">
        <v>153</v>
      </c>
      <c r="J12" s="1" t="s">
        <v>154</v>
      </c>
      <c r="K12" s="1" t="s">
        <v>155</v>
      </c>
      <c r="L12" s="1" t="s">
        <v>156</v>
      </c>
      <c r="M12" s="1" t="s">
        <v>157</v>
      </c>
      <c r="N12" s="1" t="s">
        <v>32</v>
      </c>
    </row>
    <row r="13" spans="1:14" ht="42" customHeight="1">
      <c r="A13" s="1" t="s">
        <v>158</v>
      </c>
      <c r="B13" s="1" t="s">
        <v>28</v>
      </c>
      <c r="C13" s="1" t="s">
        <v>29</v>
      </c>
      <c r="D13" s="1" t="s">
        <v>30</v>
      </c>
      <c r="E13" s="1" t="s">
        <v>159</v>
      </c>
      <c r="F13" s="1" t="s">
        <v>160</v>
      </c>
      <c r="G13" s="1" t="s">
        <v>121</v>
      </c>
      <c r="H13" s="1" t="s">
        <v>98</v>
      </c>
      <c r="I13" s="1" t="s">
        <v>145</v>
      </c>
      <c r="J13" s="1" t="s">
        <v>161</v>
      </c>
      <c r="K13" s="1" t="s">
        <v>162</v>
      </c>
      <c r="L13" s="1" t="s">
        <v>163</v>
      </c>
      <c r="M13" s="1" t="s">
        <v>164</v>
      </c>
      <c r="N13" s="1" t="s">
        <v>32</v>
      </c>
    </row>
    <row r="14" spans="1:14" ht="42" customHeight="1">
      <c r="A14" s="1" t="s">
        <v>165</v>
      </c>
      <c r="B14" s="1" t="s">
        <v>28</v>
      </c>
      <c r="C14" s="1" t="s">
        <v>29</v>
      </c>
      <c r="D14" s="1" t="s">
        <v>30</v>
      </c>
      <c r="E14" s="1" t="s">
        <v>166</v>
      </c>
      <c r="F14" s="1" t="s">
        <v>97</v>
      </c>
      <c r="G14" s="1" t="s">
        <v>84</v>
      </c>
      <c r="H14" s="1" t="s">
        <v>98</v>
      </c>
      <c r="I14" s="1" t="s">
        <v>99</v>
      </c>
      <c r="J14" s="1" t="s">
        <v>100</v>
      </c>
      <c r="K14" s="1" t="s">
        <v>167</v>
      </c>
      <c r="L14" s="1" t="s">
        <v>168</v>
      </c>
      <c r="M14" s="1" t="s">
        <v>169</v>
      </c>
      <c r="N14" s="1" t="s">
        <v>32</v>
      </c>
    </row>
    <row r="15" spans="1:14" ht="42" customHeight="1">
      <c r="A15" s="1" t="s">
        <v>170</v>
      </c>
      <c r="B15" s="1" t="s">
        <v>28</v>
      </c>
      <c r="C15" s="1" t="s">
        <v>29</v>
      </c>
      <c r="D15" s="1" t="s">
        <v>30</v>
      </c>
      <c r="E15" s="1" t="s">
        <v>171</v>
      </c>
      <c r="F15" s="1" t="s">
        <v>172</v>
      </c>
      <c r="G15" s="1" t="s">
        <v>173</v>
      </c>
      <c r="H15" s="1" t="s">
        <v>98</v>
      </c>
      <c r="I15" s="1" t="s">
        <v>99</v>
      </c>
      <c r="J15" s="1" t="s">
        <v>174</v>
      </c>
      <c r="K15" s="1" t="s">
        <v>175</v>
      </c>
      <c r="L15" s="1" t="s">
        <v>176</v>
      </c>
      <c r="M15" s="1" t="s">
        <v>177</v>
      </c>
      <c r="N15" s="1" t="s">
        <v>32</v>
      </c>
    </row>
    <row r="16" spans="1:14" ht="42" customHeight="1">
      <c r="A16" s="1" t="s">
        <v>178</v>
      </c>
      <c r="B16" s="1" t="s">
        <v>28</v>
      </c>
      <c r="C16" s="1" t="s">
        <v>29</v>
      </c>
      <c r="D16" s="1" t="s">
        <v>30</v>
      </c>
      <c r="E16" s="1" t="s">
        <v>179</v>
      </c>
      <c r="F16" s="1" t="s">
        <v>180</v>
      </c>
      <c r="G16" s="1" t="s">
        <v>181</v>
      </c>
      <c r="H16" s="1" t="s">
        <v>122</v>
      </c>
      <c r="I16" s="1"/>
      <c r="J16" s="1"/>
      <c r="K16" s="1" t="s">
        <v>182</v>
      </c>
      <c r="L16" s="1" t="s">
        <v>183</v>
      </c>
      <c r="M16" s="1" t="s">
        <v>184</v>
      </c>
      <c r="N16" s="1" t="s">
        <v>32</v>
      </c>
    </row>
    <row r="17" spans="1:14" ht="42" customHeight="1">
      <c r="A17" s="1" t="s">
        <v>185</v>
      </c>
      <c r="B17" s="1" t="s">
        <v>28</v>
      </c>
      <c r="C17" s="1" t="s">
        <v>29</v>
      </c>
      <c r="D17" s="1" t="s">
        <v>30</v>
      </c>
      <c r="E17" s="1" t="s">
        <v>186</v>
      </c>
      <c r="F17" s="1" t="s">
        <v>180</v>
      </c>
      <c r="G17" s="1" t="s">
        <v>181</v>
      </c>
      <c r="H17" s="1" t="s">
        <v>122</v>
      </c>
      <c r="I17" s="1"/>
      <c r="J17" s="1"/>
      <c r="K17" s="1" t="s">
        <v>187</v>
      </c>
      <c r="L17" s="1" t="s">
        <v>163</v>
      </c>
      <c r="M17" s="1" t="s">
        <v>188</v>
      </c>
      <c r="N17" s="1" t="s">
        <v>32</v>
      </c>
    </row>
    <row r="18" spans="1:14" ht="42" customHeight="1">
      <c r="A18" s="1" t="s">
        <v>189</v>
      </c>
      <c r="B18" s="1" t="s">
        <v>28</v>
      </c>
      <c r="C18" s="1" t="s">
        <v>29</v>
      </c>
      <c r="D18" s="1" t="s">
        <v>30</v>
      </c>
      <c r="E18" s="1" t="s">
        <v>190</v>
      </c>
      <c r="F18" s="1" t="s">
        <v>143</v>
      </c>
      <c r="G18" s="1" t="s">
        <v>144</v>
      </c>
      <c r="H18" s="1" t="s">
        <v>122</v>
      </c>
      <c r="I18" s="1"/>
      <c r="J18" s="1"/>
      <c r="K18" s="1" t="s">
        <v>191</v>
      </c>
      <c r="L18" s="1" t="s">
        <v>156</v>
      </c>
      <c r="M18" s="1" t="s">
        <v>157</v>
      </c>
      <c r="N18" s="1" t="s">
        <v>32</v>
      </c>
    </row>
    <row r="19" spans="1:14" ht="42" customHeight="1">
      <c r="A19" s="1" t="s">
        <v>192</v>
      </c>
      <c r="B19" s="1" t="s">
        <v>28</v>
      </c>
      <c r="C19" s="1" t="s">
        <v>29</v>
      </c>
      <c r="D19" s="1" t="s">
        <v>30</v>
      </c>
      <c r="E19" s="1" t="s">
        <v>193</v>
      </c>
      <c r="F19" s="1" t="s">
        <v>180</v>
      </c>
      <c r="G19" s="1" t="s">
        <v>194</v>
      </c>
      <c r="H19" s="1" t="s">
        <v>122</v>
      </c>
      <c r="I19" s="1"/>
      <c r="J19" s="1"/>
      <c r="K19" s="1" t="s">
        <v>195</v>
      </c>
      <c r="L19" s="1" t="s">
        <v>196</v>
      </c>
      <c r="M19" s="1" t="s">
        <v>197</v>
      </c>
      <c r="N19" s="1" t="s">
        <v>32</v>
      </c>
    </row>
    <row r="20" spans="1:14" ht="42" customHeight="1">
      <c r="A20" s="1" t="s">
        <v>198</v>
      </c>
      <c r="B20" s="1" t="s">
        <v>28</v>
      </c>
      <c r="C20" s="1" t="s">
        <v>29</v>
      </c>
      <c r="D20" s="1" t="s">
        <v>30</v>
      </c>
      <c r="E20" s="1" t="s">
        <v>199</v>
      </c>
      <c r="F20" s="1" t="s">
        <v>180</v>
      </c>
      <c r="G20" s="1" t="s">
        <v>181</v>
      </c>
      <c r="H20" s="1" t="s">
        <v>122</v>
      </c>
      <c r="I20" s="1"/>
      <c r="J20" s="1"/>
      <c r="K20" s="1" t="s">
        <v>200</v>
      </c>
      <c r="L20" s="1" t="s">
        <v>201</v>
      </c>
      <c r="M20" s="1" t="s">
        <v>202</v>
      </c>
      <c r="N20" s="1" t="s">
        <v>32</v>
      </c>
    </row>
    <row r="21" spans="1:14" ht="42" customHeight="1">
      <c r="A21" s="1" t="s">
        <v>203</v>
      </c>
      <c r="B21" s="1" t="s">
        <v>28</v>
      </c>
      <c r="C21" s="1" t="s">
        <v>29</v>
      </c>
      <c r="D21" s="1" t="s">
        <v>30</v>
      </c>
      <c r="E21" s="1" t="s">
        <v>204</v>
      </c>
      <c r="F21" s="1" t="s">
        <v>205</v>
      </c>
      <c r="G21" s="1" t="s">
        <v>206</v>
      </c>
      <c r="H21" s="1" t="s">
        <v>122</v>
      </c>
      <c r="I21" s="1"/>
      <c r="J21" s="1"/>
      <c r="K21" s="1" t="s">
        <v>207</v>
      </c>
      <c r="L21" s="1" t="s">
        <v>208</v>
      </c>
      <c r="M21" s="1" t="s">
        <v>209</v>
      </c>
      <c r="N21" s="1" t="s">
        <v>32</v>
      </c>
    </row>
    <row r="22" spans="1:14" ht="42" customHeight="1">
      <c r="A22" s="1" t="s">
        <v>210</v>
      </c>
      <c r="B22" s="1" t="s">
        <v>28</v>
      </c>
      <c r="C22" s="1" t="s">
        <v>29</v>
      </c>
      <c r="D22" s="1" t="s">
        <v>30</v>
      </c>
      <c r="E22" s="1" t="s">
        <v>211</v>
      </c>
      <c r="F22" s="1" t="s">
        <v>180</v>
      </c>
      <c r="G22" s="1" t="s">
        <v>181</v>
      </c>
      <c r="H22" s="1" t="s">
        <v>122</v>
      </c>
      <c r="I22" s="1"/>
      <c r="J22" s="1"/>
      <c r="K22" s="1" t="s">
        <v>212</v>
      </c>
      <c r="L22" s="1" t="s">
        <v>176</v>
      </c>
      <c r="M22" s="1" t="s">
        <v>177</v>
      </c>
      <c r="N22" s="1" t="s">
        <v>32</v>
      </c>
    </row>
    <row r="23" spans="1:14" ht="42" customHeight="1">
      <c r="A23" s="1" t="s">
        <v>213</v>
      </c>
      <c r="B23" s="1" t="s">
        <v>33</v>
      </c>
      <c r="C23" s="1" t="s">
        <v>34</v>
      </c>
      <c r="D23" s="1" t="s">
        <v>35</v>
      </c>
      <c r="E23" s="1" t="s">
        <v>90</v>
      </c>
      <c r="F23" s="1" t="s">
        <v>91</v>
      </c>
      <c r="G23" s="1" t="s">
        <v>84</v>
      </c>
      <c r="H23" s="1" t="s">
        <v>85</v>
      </c>
      <c r="I23" s="1"/>
      <c r="J23" s="1"/>
      <c r="K23" s="1" t="s">
        <v>214</v>
      </c>
      <c r="L23" s="1" t="s">
        <v>215</v>
      </c>
      <c r="M23" s="1" t="s">
        <v>216</v>
      </c>
      <c r="N23" s="1" t="s">
        <v>37</v>
      </c>
    </row>
    <row r="24" spans="1:14" ht="42" customHeight="1">
      <c r="A24" s="1" t="s">
        <v>217</v>
      </c>
      <c r="B24" s="1" t="s">
        <v>33</v>
      </c>
      <c r="C24" s="1" t="s">
        <v>34</v>
      </c>
      <c r="D24" s="1" t="s">
        <v>35</v>
      </c>
      <c r="E24" s="1" t="s">
        <v>136</v>
      </c>
      <c r="F24" s="1" t="s">
        <v>137</v>
      </c>
      <c r="G24" s="1" t="s">
        <v>121</v>
      </c>
      <c r="H24" s="1" t="s">
        <v>85</v>
      </c>
      <c r="I24" s="1"/>
      <c r="J24" s="1"/>
      <c r="K24" s="1" t="s">
        <v>218</v>
      </c>
      <c r="L24" s="1" t="s">
        <v>219</v>
      </c>
      <c r="M24" s="1" t="s">
        <v>220</v>
      </c>
      <c r="N24" s="1" t="s">
        <v>37</v>
      </c>
    </row>
    <row r="25" spans="1:14" ht="42" customHeight="1">
      <c r="A25" s="1" t="s">
        <v>221</v>
      </c>
      <c r="B25" s="1" t="s">
        <v>33</v>
      </c>
      <c r="C25" s="1" t="s">
        <v>34</v>
      </c>
      <c r="D25" s="1" t="s">
        <v>35</v>
      </c>
      <c r="E25" s="1" t="s">
        <v>159</v>
      </c>
      <c r="F25" s="1" t="s">
        <v>160</v>
      </c>
      <c r="G25" s="1" t="s">
        <v>121</v>
      </c>
      <c r="H25" s="1" t="s">
        <v>98</v>
      </c>
      <c r="I25" s="1" t="s">
        <v>145</v>
      </c>
      <c r="J25" s="1" t="s">
        <v>222</v>
      </c>
      <c r="K25" s="1" t="s">
        <v>223</v>
      </c>
      <c r="L25" s="1" t="s">
        <v>224</v>
      </c>
      <c r="M25" s="1" t="s">
        <v>225</v>
      </c>
      <c r="N25" s="1" t="s">
        <v>37</v>
      </c>
    </row>
    <row r="26" spans="1:14" ht="42" customHeight="1">
      <c r="A26" s="1" t="s">
        <v>226</v>
      </c>
      <c r="B26" s="1" t="s">
        <v>33</v>
      </c>
      <c r="C26" s="1" t="s">
        <v>34</v>
      </c>
      <c r="D26" s="1" t="s">
        <v>35</v>
      </c>
      <c r="E26" s="1" t="s">
        <v>227</v>
      </c>
      <c r="F26" s="1" t="s">
        <v>228</v>
      </c>
      <c r="G26" s="1" t="s">
        <v>229</v>
      </c>
      <c r="H26" s="1" t="s">
        <v>98</v>
      </c>
      <c r="I26" s="1" t="s">
        <v>99</v>
      </c>
      <c r="J26" s="1" t="s">
        <v>230</v>
      </c>
      <c r="K26" s="1" t="s">
        <v>231</v>
      </c>
      <c r="L26" s="1" t="s">
        <v>232</v>
      </c>
      <c r="M26" s="1" t="s">
        <v>233</v>
      </c>
      <c r="N26" s="1" t="s">
        <v>37</v>
      </c>
    </row>
    <row r="27" spans="1:14" ht="42" customHeight="1">
      <c r="A27" s="1" t="s">
        <v>234</v>
      </c>
      <c r="B27" s="1" t="s">
        <v>33</v>
      </c>
      <c r="C27" s="1" t="s">
        <v>34</v>
      </c>
      <c r="D27" s="1" t="s">
        <v>35</v>
      </c>
      <c r="E27" s="1" t="s">
        <v>235</v>
      </c>
      <c r="F27" s="1" t="s">
        <v>236</v>
      </c>
      <c r="G27" s="1" t="s">
        <v>237</v>
      </c>
      <c r="H27" s="1" t="s">
        <v>98</v>
      </c>
      <c r="I27" s="1" t="s">
        <v>145</v>
      </c>
      <c r="J27" s="1" t="s">
        <v>238</v>
      </c>
      <c r="K27" s="1" t="s">
        <v>239</v>
      </c>
      <c r="L27" s="1" t="s">
        <v>240</v>
      </c>
      <c r="M27" s="1" t="s">
        <v>241</v>
      </c>
      <c r="N27" s="1" t="s">
        <v>37</v>
      </c>
    </row>
    <row r="28" spans="1:14" ht="42" customHeight="1">
      <c r="A28" s="1" t="s">
        <v>242</v>
      </c>
      <c r="B28" s="1" t="s">
        <v>33</v>
      </c>
      <c r="C28" s="1" t="s">
        <v>34</v>
      </c>
      <c r="D28" s="1" t="s">
        <v>35</v>
      </c>
      <c r="E28" s="1" t="s">
        <v>243</v>
      </c>
      <c r="F28" s="1" t="s">
        <v>97</v>
      </c>
      <c r="G28" s="1" t="s">
        <v>84</v>
      </c>
      <c r="H28" s="1" t="s">
        <v>98</v>
      </c>
      <c r="I28" s="1" t="s">
        <v>99</v>
      </c>
      <c r="J28" s="1" t="s">
        <v>100</v>
      </c>
      <c r="K28" s="1" t="s">
        <v>167</v>
      </c>
      <c r="L28" s="1" t="s">
        <v>244</v>
      </c>
      <c r="M28" s="1" t="s">
        <v>245</v>
      </c>
      <c r="N28" s="1" t="s">
        <v>37</v>
      </c>
    </row>
    <row r="29" spans="1:14" ht="42" customHeight="1">
      <c r="A29" s="1" t="s">
        <v>246</v>
      </c>
      <c r="B29" s="1" t="s">
        <v>33</v>
      </c>
      <c r="C29" s="1" t="s">
        <v>34</v>
      </c>
      <c r="D29" s="1" t="s">
        <v>35</v>
      </c>
      <c r="E29" s="1" t="s">
        <v>247</v>
      </c>
      <c r="F29" s="1" t="s">
        <v>180</v>
      </c>
      <c r="G29" s="1" t="s">
        <v>181</v>
      </c>
      <c r="H29" s="1" t="s">
        <v>122</v>
      </c>
      <c r="I29" s="1"/>
      <c r="J29" s="1"/>
      <c r="K29" s="1" t="s">
        <v>248</v>
      </c>
      <c r="L29" s="1" t="s">
        <v>249</v>
      </c>
      <c r="M29" s="1" t="s">
        <v>250</v>
      </c>
      <c r="N29" s="1" t="s">
        <v>37</v>
      </c>
    </row>
    <row r="30" spans="1:14" ht="42" customHeight="1">
      <c r="A30" s="1" t="s">
        <v>251</v>
      </c>
      <c r="B30" s="1" t="s">
        <v>33</v>
      </c>
      <c r="C30" s="1" t="s">
        <v>34</v>
      </c>
      <c r="D30" s="1" t="s">
        <v>35</v>
      </c>
      <c r="E30" s="1" t="s">
        <v>252</v>
      </c>
      <c r="F30" s="1" t="s">
        <v>180</v>
      </c>
      <c r="G30" s="1" t="s">
        <v>181</v>
      </c>
      <c r="H30" s="1" t="s">
        <v>122</v>
      </c>
      <c r="I30" s="1"/>
      <c r="J30" s="1"/>
      <c r="K30" s="1" t="s">
        <v>253</v>
      </c>
      <c r="L30" s="1" t="s">
        <v>249</v>
      </c>
      <c r="M30" s="1" t="s">
        <v>250</v>
      </c>
      <c r="N30" s="1" t="s">
        <v>37</v>
      </c>
    </row>
    <row r="31" spans="1:14" ht="42" customHeight="1">
      <c r="A31" s="1" t="s">
        <v>254</v>
      </c>
      <c r="B31" s="1" t="s">
        <v>33</v>
      </c>
      <c r="C31" s="1" t="s">
        <v>34</v>
      </c>
      <c r="D31" s="1" t="s">
        <v>35</v>
      </c>
      <c r="E31" s="1" t="s">
        <v>119</v>
      </c>
      <c r="F31" s="1" t="s">
        <v>120</v>
      </c>
      <c r="G31" s="1" t="s">
        <v>121</v>
      </c>
      <c r="H31" s="1" t="s">
        <v>122</v>
      </c>
      <c r="I31" s="1"/>
      <c r="J31" s="1"/>
      <c r="K31" s="1" t="s">
        <v>255</v>
      </c>
      <c r="L31" s="1" t="s">
        <v>256</v>
      </c>
      <c r="M31" s="1" t="s">
        <v>257</v>
      </c>
      <c r="N31" s="1" t="s">
        <v>37</v>
      </c>
    </row>
    <row r="32" spans="1:14" ht="42" customHeight="1">
      <c r="A32" s="1" t="s">
        <v>258</v>
      </c>
      <c r="B32" s="1" t="s">
        <v>33</v>
      </c>
      <c r="C32" s="1" t="s">
        <v>34</v>
      </c>
      <c r="D32" s="1" t="s">
        <v>35</v>
      </c>
      <c r="E32" s="1" t="s">
        <v>259</v>
      </c>
      <c r="F32" s="1" t="s">
        <v>205</v>
      </c>
      <c r="G32" s="1" t="s">
        <v>206</v>
      </c>
      <c r="H32" s="1" t="s">
        <v>122</v>
      </c>
      <c r="I32" s="1"/>
      <c r="J32" s="1"/>
      <c r="K32" s="1" t="s">
        <v>260</v>
      </c>
      <c r="L32" s="1" t="s">
        <v>256</v>
      </c>
      <c r="M32" s="1" t="s">
        <v>257</v>
      </c>
      <c r="N32" s="1" t="s">
        <v>37</v>
      </c>
    </row>
  </sheetData>
  <conditionalFormatting sqref="H2:H32">
    <cfRule type="expression" dxfId="5" priority="1">
      <formula>H2="I"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"/>
  <sheetViews>
    <sheetView tabSelected="1" workbookViewId="0">
      <selection activeCell="E8" sqref="E8"/>
    </sheetView>
  </sheetViews>
  <sheetFormatPr defaultRowHeight="14.25"/>
  <cols>
    <col min="1" max="1" width="16" customWidth="1"/>
    <col min="2" max="2" width="10" customWidth="1"/>
    <col min="3" max="3" width="13" customWidth="1"/>
    <col min="4" max="5" width="34" customWidth="1"/>
    <col min="6" max="6" width="18" customWidth="1"/>
    <col min="7" max="7" width="34" customWidth="1"/>
    <col min="8" max="8" width="16" customWidth="1"/>
    <col min="9" max="9" width="30" customWidth="1"/>
    <col min="10" max="11" width="36" customWidth="1"/>
    <col min="12" max="13" width="24" customWidth="1"/>
    <col min="14" max="14" width="46" customWidth="1"/>
    <col min="15" max="15" width="42" customWidth="1"/>
  </cols>
  <sheetData>
    <row r="1" spans="1:15" ht="33.950000000000003" customHeight="1">
      <c r="A1" s="2" t="s">
        <v>261</v>
      </c>
      <c r="B1" s="2" t="s">
        <v>51</v>
      </c>
      <c r="C1" s="2" t="s">
        <v>52</v>
      </c>
      <c r="D1" s="2" t="s">
        <v>53</v>
      </c>
      <c r="E1" s="2" t="s">
        <v>262</v>
      </c>
      <c r="F1" s="2" t="s">
        <v>263</v>
      </c>
      <c r="G1" s="2" t="s">
        <v>264</v>
      </c>
      <c r="H1" s="2" t="s">
        <v>265</v>
      </c>
      <c r="I1" s="2" t="s">
        <v>266</v>
      </c>
      <c r="J1" s="2" t="s">
        <v>267</v>
      </c>
      <c r="K1" s="2" t="s">
        <v>268</v>
      </c>
      <c r="L1" s="2" t="s">
        <v>79</v>
      </c>
      <c r="M1" s="2" t="s">
        <v>80</v>
      </c>
      <c r="N1" s="2" t="s">
        <v>269</v>
      </c>
      <c r="O1" s="2" t="s">
        <v>55</v>
      </c>
    </row>
    <row r="2" spans="1:15" ht="42" customHeight="1">
      <c r="A2" s="1" t="s">
        <v>270</v>
      </c>
      <c r="B2" s="1" t="s">
        <v>23</v>
      </c>
      <c r="C2" s="1" t="s">
        <v>24</v>
      </c>
      <c r="D2" s="1" t="s">
        <v>25</v>
      </c>
      <c r="E2" s="1" t="s">
        <v>96</v>
      </c>
      <c r="F2" s="1" t="s">
        <v>99</v>
      </c>
      <c r="G2" s="1" t="s">
        <v>271</v>
      </c>
      <c r="H2" s="1" t="s">
        <v>47</v>
      </c>
      <c r="I2" s="1" t="s">
        <v>100</v>
      </c>
      <c r="J2" s="1" t="s">
        <v>90</v>
      </c>
      <c r="K2" s="1" t="s">
        <v>119</v>
      </c>
      <c r="L2" s="1" t="s">
        <v>102</v>
      </c>
      <c r="M2" s="1" t="s">
        <v>103</v>
      </c>
      <c r="N2" s="1" t="s">
        <v>101</v>
      </c>
      <c r="O2" s="1" t="s">
        <v>27</v>
      </c>
    </row>
    <row r="3" spans="1:15" ht="42" customHeight="1">
      <c r="A3" s="1" t="s">
        <v>272</v>
      </c>
      <c r="B3" s="1" t="s">
        <v>23</v>
      </c>
      <c r="C3" s="1" t="s">
        <v>24</v>
      </c>
      <c r="D3" s="1" t="s">
        <v>25</v>
      </c>
      <c r="E3" s="1" t="s">
        <v>105</v>
      </c>
      <c r="F3" s="1" t="s">
        <v>99</v>
      </c>
      <c r="G3" s="1" t="s">
        <v>273</v>
      </c>
      <c r="H3" s="1" t="s">
        <v>41</v>
      </c>
      <c r="I3" s="1" t="s">
        <v>107</v>
      </c>
      <c r="J3" s="1" t="s">
        <v>90</v>
      </c>
      <c r="K3" s="1" t="s">
        <v>119</v>
      </c>
      <c r="L3" s="1" t="s">
        <v>109</v>
      </c>
      <c r="M3" s="1" t="s">
        <v>110</v>
      </c>
      <c r="N3" s="1" t="s">
        <v>274</v>
      </c>
      <c r="O3" s="1" t="s">
        <v>27</v>
      </c>
    </row>
    <row r="4" spans="1:15" ht="42" customHeight="1">
      <c r="A4" s="1" t="s">
        <v>275</v>
      </c>
      <c r="B4" s="1" t="s">
        <v>23</v>
      </c>
      <c r="C4" s="1" t="s">
        <v>24</v>
      </c>
      <c r="D4" s="1" t="s">
        <v>25</v>
      </c>
      <c r="E4" s="1" t="s">
        <v>112</v>
      </c>
      <c r="F4" s="1" t="s">
        <v>99</v>
      </c>
      <c r="G4" s="1" t="s">
        <v>276</v>
      </c>
      <c r="H4" s="1" t="s">
        <v>41</v>
      </c>
      <c r="I4" s="1" t="s">
        <v>277</v>
      </c>
      <c r="J4" s="1" t="s">
        <v>90</v>
      </c>
      <c r="K4" s="1" t="s">
        <v>119</v>
      </c>
      <c r="L4" s="1" t="s">
        <v>109</v>
      </c>
      <c r="M4" s="1" t="s">
        <v>278</v>
      </c>
      <c r="N4" s="1" t="s">
        <v>279</v>
      </c>
      <c r="O4" s="1" t="s">
        <v>27</v>
      </c>
    </row>
    <row r="5" spans="1:15" ht="42" customHeight="1">
      <c r="A5" s="1" t="s">
        <v>280</v>
      </c>
      <c r="B5" s="1" t="s">
        <v>23</v>
      </c>
      <c r="C5" s="1" t="s">
        <v>24</v>
      </c>
      <c r="D5" s="1" t="s">
        <v>25</v>
      </c>
      <c r="E5" s="1" t="s">
        <v>112</v>
      </c>
      <c r="F5" s="1" t="s">
        <v>99</v>
      </c>
      <c r="G5" s="1" t="s">
        <v>281</v>
      </c>
      <c r="H5" s="1" t="s">
        <v>47</v>
      </c>
      <c r="I5" s="1" t="s">
        <v>282</v>
      </c>
      <c r="J5" s="1" t="s">
        <v>90</v>
      </c>
      <c r="K5" s="1" t="s">
        <v>119</v>
      </c>
      <c r="L5" s="1" t="s">
        <v>283</v>
      </c>
      <c r="M5" s="1" t="s">
        <v>284</v>
      </c>
      <c r="N5" s="1" t="s">
        <v>285</v>
      </c>
      <c r="O5" s="1" t="s">
        <v>27</v>
      </c>
    </row>
    <row r="6" spans="1:15" ht="42" customHeight="1">
      <c r="A6" s="1" t="s">
        <v>286</v>
      </c>
      <c r="B6" s="1" t="s">
        <v>28</v>
      </c>
      <c r="C6" s="1" t="s">
        <v>29</v>
      </c>
      <c r="D6" s="1" t="s">
        <v>30</v>
      </c>
      <c r="E6" s="1" t="s">
        <v>142</v>
      </c>
      <c r="F6" s="1" t="s">
        <v>145</v>
      </c>
      <c r="G6" s="1" t="s">
        <v>287</v>
      </c>
      <c r="H6" s="1" t="s">
        <v>45</v>
      </c>
      <c r="I6" s="1" t="s">
        <v>146</v>
      </c>
      <c r="J6" s="1" t="s">
        <v>288</v>
      </c>
      <c r="K6" s="1" t="s">
        <v>179</v>
      </c>
      <c r="L6" s="1" t="s">
        <v>148</v>
      </c>
      <c r="M6" s="1" t="s">
        <v>149</v>
      </c>
      <c r="N6" s="1" t="s">
        <v>289</v>
      </c>
      <c r="O6" s="1" t="s">
        <v>32</v>
      </c>
    </row>
    <row r="7" spans="1:15" ht="42" customHeight="1">
      <c r="A7" s="1" t="s">
        <v>290</v>
      </c>
      <c r="B7" s="1" t="s">
        <v>28</v>
      </c>
      <c r="C7" s="1" t="s">
        <v>29</v>
      </c>
      <c r="D7" s="1" t="s">
        <v>30</v>
      </c>
      <c r="E7" s="1" t="s">
        <v>151</v>
      </c>
      <c r="F7" s="1" t="s">
        <v>153</v>
      </c>
      <c r="G7" s="1" t="s">
        <v>154</v>
      </c>
      <c r="H7" s="1" t="s">
        <v>43</v>
      </c>
      <c r="I7" s="1" t="s">
        <v>154</v>
      </c>
      <c r="J7" s="1" t="s">
        <v>90</v>
      </c>
      <c r="K7" s="1" t="s">
        <v>190</v>
      </c>
      <c r="L7" s="1" t="s">
        <v>156</v>
      </c>
      <c r="M7" s="1" t="s">
        <v>157</v>
      </c>
      <c r="N7" s="1" t="s">
        <v>291</v>
      </c>
      <c r="O7" s="1" t="s">
        <v>32</v>
      </c>
    </row>
    <row r="8" spans="1:15" ht="42" customHeight="1">
      <c r="A8" s="1" t="s">
        <v>292</v>
      </c>
      <c r="B8" s="1" t="s">
        <v>28</v>
      </c>
      <c r="C8" s="1" t="s">
        <v>29</v>
      </c>
      <c r="D8" s="1" t="s">
        <v>30</v>
      </c>
      <c r="E8" s="1" t="s">
        <v>159</v>
      </c>
      <c r="F8" s="1" t="s">
        <v>145</v>
      </c>
      <c r="G8" s="1" t="s">
        <v>293</v>
      </c>
      <c r="H8" s="1" t="s">
        <v>47</v>
      </c>
      <c r="I8" s="1" t="s">
        <v>294</v>
      </c>
      <c r="J8" s="1" t="s">
        <v>288</v>
      </c>
      <c r="K8" s="1" t="s">
        <v>295</v>
      </c>
      <c r="L8" s="1" t="s">
        <v>163</v>
      </c>
      <c r="M8" s="1" t="s">
        <v>164</v>
      </c>
      <c r="N8" s="1" t="s">
        <v>296</v>
      </c>
      <c r="O8" s="1" t="s">
        <v>32</v>
      </c>
    </row>
    <row r="9" spans="1:15" ht="42" customHeight="1">
      <c r="A9" s="1" t="s">
        <v>297</v>
      </c>
      <c r="B9" s="1" t="s">
        <v>28</v>
      </c>
      <c r="C9" s="1" t="s">
        <v>29</v>
      </c>
      <c r="D9" s="1" t="s">
        <v>30</v>
      </c>
      <c r="E9" s="1" t="s">
        <v>166</v>
      </c>
      <c r="F9" s="1" t="s">
        <v>99</v>
      </c>
      <c r="G9" s="1" t="s">
        <v>271</v>
      </c>
      <c r="H9" s="1" t="s">
        <v>47</v>
      </c>
      <c r="I9" s="1" t="s">
        <v>100</v>
      </c>
      <c r="J9" s="1" t="s">
        <v>90</v>
      </c>
      <c r="K9" s="1" t="s">
        <v>179</v>
      </c>
      <c r="L9" s="1" t="s">
        <v>168</v>
      </c>
      <c r="M9" s="1" t="s">
        <v>169</v>
      </c>
      <c r="N9" s="1" t="s">
        <v>298</v>
      </c>
      <c r="O9" s="1" t="s">
        <v>32</v>
      </c>
    </row>
    <row r="10" spans="1:15" ht="42" customHeight="1">
      <c r="A10" s="1" t="s">
        <v>299</v>
      </c>
      <c r="B10" s="1" t="s">
        <v>28</v>
      </c>
      <c r="C10" s="1" t="s">
        <v>29</v>
      </c>
      <c r="D10" s="1" t="s">
        <v>30</v>
      </c>
      <c r="E10" s="1" t="s">
        <v>171</v>
      </c>
      <c r="F10" s="1" t="s">
        <v>99</v>
      </c>
      <c r="G10" s="1" t="s">
        <v>300</v>
      </c>
      <c r="H10" s="1" t="s">
        <v>47</v>
      </c>
      <c r="I10" s="1" t="s">
        <v>174</v>
      </c>
      <c r="J10" s="1" t="s">
        <v>90</v>
      </c>
      <c r="K10" s="1" t="s">
        <v>301</v>
      </c>
      <c r="L10" s="1" t="s">
        <v>176</v>
      </c>
      <c r="M10" s="1" t="s">
        <v>177</v>
      </c>
      <c r="N10" s="1" t="s">
        <v>302</v>
      </c>
      <c r="O10" s="1" t="s">
        <v>32</v>
      </c>
    </row>
    <row r="11" spans="1:15" ht="42" customHeight="1">
      <c r="A11" s="1" t="s">
        <v>303</v>
      </c>
      <c r="B11" s="1" t="s">
        <v>33</v>
      </c>
      <c r="C11" s="1" t="s">
        <v>34</v>
      </c>
      <c r="D11" s="1" t="s">
        <v>35</v>
      </c>
      <c r="E11" s="1" t="s">
        <v>159</v>
      </c>
      <c r="F11" s="1" t="s">
        <v>145</v>
      </c>
      <c r="G11" s="1" t="s">
        <v>304</v>
      </c>
      <c r="H11" s="1" t="s">
        <v>47</v>
      </c>
      <c r="I11" s="1" t="s">
        <v>294</v>
      </c>
      <c r="J11" s="1" t="s">
        <v>305</v>
      </c>
      <c r="K11" s="1" t="s">
        <v>306</v>
      </c>
      <c r="L11" s="1" t="s">
        <v>224</v>
      </c>
      <c r="M11" s="1" t="s">
        <v>225</v>
      </c>
      <c r="N11" s="1" t="s">
        <v>307</v>
      </c>
      <c r="O11" s="1" t="s">
        <v>37</v>
      </c>
    </row>
    <row r="12" spans="1:15" ht="42" customHeight="1">
      <c r="A12" s="1" t="s">
        <v>308</v>
      </c>
      <c r="B12" s="1" t="s">
        <v>33</v>
      </c>
      <c r="C12" s="1" t="s">
        <v>34</v>
      </c>
      <c r="D12" s="1" t="s">
        <v>35</v>
      </c>
      <c r="E12" s="1" t="s">
        <v>227</v>
      </c>
      <c r="F12" s="1" t="s">
        <v>99</v>
      </c>
      <c r="G12" s="1" t="s">
        <v>309</v>
      </c>
      <c r="H12" s="1" t="s">
        <v>41</v>
      </c>
      <c r="I12" s="1" t="s">
        <v>310</v>
      </c>
      <c r="J12" s="1" t="s">
        <v>136</v>
      </c>
      <c r="K12" s="1" t="s">
        <v>306</v>
      </c>
      <c r="L12" s="1" t="s">
        <v>232</v>
      </c>
      <c r="M12" s="1" t="s">
        <v>233</v>
      </c>
      <c r="N12" s="1" t="s">
        <v>311</v>
      </c>
      <c r="O12" s="1" t="s">
        <v>37</v>
      </c>
    </row>
    <row r="13" spans="1:15" ht="42" customHeight="1">
      <c r="A13" s="1" t="s">
        <v>312</v>
      </c>
      <c r="B13" s="1" t="s">
        <v>33</v>
      </c>
      <c r="C13" s="1" t="s">
        <v>34</v>
      </c>
      <c r="D13" s="1" t="s">
        <v>35</v>
      </c>
      <c r="E13" s="1" t="s">
        <v>235</v>
      </c>
      <c r="F13" s="1" t="s">
        <v>145</v>
      </c>
      <c r="G13" s="1" t="s">
        <v>313</v>
      </c>
      <c r="H13" s="1" t="s">
        <v>43</v>
      </c>
      <c r="I13" s="1" t="s">
        <v>238</v>
      </c>
      <c r="J13" s="1" t="s">
        <v>136</v>
      </c>
      <c r="K13" s="1" t="s">
        <v>314</v>
      </c>
      <c r="L13" s="1" t="s">
        <v>240</v>
      </c>
      <c r="M13" s="1" t="s">
        <v>241</v>
      </c>
      <c r="N13" s="1" t="s">
        <v>315</v>
      </c>
      <c r="O13" s="1" t="s">
        <v>37</v>
      </c>
    </row>
    <row r="14" spans="1:15" ht="42" customHeight="1">
      <c r="A14" s="1" t="s">
        <v>316</v>
      </c>
      <c r="B14" s="1" t="s">
        <v>33</v>
      </c>
      <c r="C14" s="1" t="s">
        <v>34</v>
      </c>
      <c r="D14" s="1" t="s">
        <v>35</v>
      </c>
      <c r="E14" s="1" t="s">
        <v>243</v>
      </c>
      <c r="F14" s="1" t="s">
        <v>99</v>
      </c>
      <c r="G14" s="1" t="s">
        <v>271</v>
      </c>
      <c r="H14" s="1" t="s">
        <v>47</v>
      </c>
      <c r="I14" s="1" t="s">
        <v>100</v>
      </c>
      <c r="J14" s="1" t="s">
        <v>90</v>
      </c>
      <c r="K14" s="1" t="s">
        <v>306</v>
      </c>
      <c r="L14" s="1" t="s">
        <v>244</v>
      </c>
      <c r="M14" s="1" t="s">
        <v>245</v>
      </c>
      <c r="N14" s="1" t="s">
        <v>167</v>
      </c>
      <c r="O14" s="1" t="s">
        <v>37</v>
      </c>
    </row>
  </sheetData>
  <conditionalFormatting sqref="H2:H14">
    <cfRule type="expression" dxfId="4" priority="1">
      <formula>H2="reporting"</formula>
    </cfRule>
    <cfRule type="expression" dxfId="3" priority="2">
      <formula>H2="certification"</formula>
    </cfRule>
    <cfRule type="expression" dxfId="2" priority="3">
      <formula>H2="auditing"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workbookViewId="0"/>
  </sheetViews>
  <sheetFormatPr defaultRowHeight="14.25"/>
  <cols>
    <col min="1" max="1" width="15" customWidth="1"/>
    <col min="2" max="2" width="10" customWidth="1"/>
    <col min="3" max="3" width="13" customWidth="1"/>
    <col min="4" max="4" width="34" customWidth="1"/>
    <col min="5" max="5" width="14" customWidth="1"/>
    <col min="6" max="6" width="34" customWidth="1"/>
    <col min="7" max="7" width="38" customWidth="1"/>
    <col min="8" max="8" width="36" customWidth="1"/>
    <col min="9" max="9" width="46" customWidth="1"/>
    <col min="10" max="10" width="42" customWidth="1"/>
    <col min="11" max="11" width="20" customWidth="1"/>
    <col min="12" max="12" width="16" customWidth="1"/>
    <col min="13" max="13" width="34" customWidth="1"/>
    <col min="14" max="14" width="26" customWidth="1"/>
    <col min="15" max="15" width="48" customWidth="1"/>
    <col min="16" max="16" width="42" customWidth="1"/>
  </cols>
  <sheetData>
    <row r="1" spans="1:16" ht="33.950000000000003" customHeight="1">
      <c r="A1" s="2" t="s">
        <v>317</v>
      </c>
      <c r="B1" s="2" t="s">
        <v>51</v>
      </c>
      <c r="C1" s="2" t="s">
        <v>52</v>
      </c>
      <c r="D1" s="2" t="s">
        <v>53</v>
      </c>
      <c r="E1" s="2" t="s">
        <v>318</v>
      </c>
      <c r="F1" s="2" t="s">
        <v>319</v>
      </c>
      <c r="G1" s="2" t="s">
        <v>320</v>
      </c>
      <c r="H1" s="2" t="s">
        <v>321</v>
      </c>
      <c r="I1" s="2" t="s">
        <v>322</v>
      </c>
      <c r="J1" s="2" t="s">
        <v>264</v>
      </c>
      <c r="K1" s="2" t="s">
        <v>76</v>
      </c>
      <c r="L1" s="2" t="s">
        <v>265</v>
      </c>
      <c r="M1" s="2" t="s">
        <v>266</v>
      </c>
      <c r="N1" s="2" t="s">
        <v>323</v>
      </c>
      <c r="O1" s="2" t="s">
        <v>324</v>
      </c>
      <c r="P1" s="2" t="s">
        <v>55</v>
      </c>
    </row>
    <row r="2" spans="1:16" ht="42" customHeight="1">
      <c r="A2" s="1" t="s">
        <v>87</v>
      </c>
      <c r="B2" s="1" t="s">
        <v>23</v>
      </c>
      <c r="C2" s="1" t="s">
        <v>24</v>
      </c>
      <c r="D2" s="1" t="s">
        <v>25</v>
      </c>
      <c r="E2" s="1" t="s">
        <v>58</v>
      </c>
      <c r="F2" s="1" t="s">
        <v>82</v>
      </c>
      <c r="G2" s="1"/>
      <c r="H2" s="1" t="s">
        <v>325</v>
      </c>
      <c r="I2" s="1" t="s">
        <v>326</v>
      </c>
      <c r="J2" s="1"/>
      <c r="K2" s="1" t="s">
        <v>327</v>
      </c>
      <c r="L2" s="1" t="s">
        <v>327</v>
      </c>
      <c r="M2" s="1" t="s">
        <v>328</v>
      </c>
      <c r="N2" s="1" t="s">
        <v>88</v>
      </c>
      <c r="O2" s="1" t="s">
        <v>329</v>
      </c>
      <c r="P2" s="1" t="s">
        <v>27</v>
      </c>
    </row>
    <row r="3" spans="1:16" ht="42" customHeight="1">
      <c r="A3" s="1" t="s">
        <v>330</v>
      </c>
      <c r="B3" s="1" t="s">
        <v>23</v>
      </c>
      <c r="C3" s="1" t="s">
        <v>24</v>
      </c>
      <c r="D3" s="1" t="s">
        <v>25</v>
      </c>
      <c r="E3" s="1" t="s">
        <v>58</v>
      </c>
      <c r="F3" s="1" t="s">
        <v>90</v>
      </c>
      <c r="G3" s="1"/>
      <c r="H3" s="1" t="s">
        <v>119</v>
      </c>
      <c r="I3" s="1" t="s">
        <v>331</v>
      </c>
      <c r="J3" s="1"/>
      <c r="K3" s="1" t="s">
        <v>327</v>
      </c>
      <c r="L3" s="1" t="s">
        <v>327</v>
      </c>
      <c r="M3" s="1" t="s">
        <v>332</v>
      </c>
      <c r="N3" s="1" t="s">
        <v>333</v>
      </c>
      <c r="O3" s="1" t="s">
        <v>334</v>
      </c>
      <c r="P3" s="1" t="s">
        <v>27</v>
      </c>
    </row>
    <row r="4" spans="1:16" ht="42" customHeight="1">
      <c r="A4" s="1" t="s">
        <v>109</v>
      </c>
      <c r="B4" s="1" t="s">
        <v>23</v>
      </c>
      <c r="C4" s="1" t="s">
        <v>24</v>
      </c>
      <c r="D4" s="1" t="s">
        <v>25</v>
      </c>
      <c r="E4" s="1" t="s">
        <v>57</v>
      </c>
      <c r="F4" s="1" t="s">
        <v>90</v>
      </c>
      <c r="G4" s="1" t="s">
        <v>335</v>
      </c>
      <c r="H4" s="1" t="s">
        <v>119</v>
      </c>
      <c r="I4" s="1" t="s">
        <v>336</v>
      </c>
      <c r="J4" s="1" t="s">
        <v>337</v>
      </c>
      <c r="K4" s="1" t="s">
        <v>99</v>
      </c>
      <c r="L4" s="1" t="s">
        <v>41</v>
      </c>
      <c r="M4" s="1" t="s">
        <v>338</v>
      </c>
      <c r="N4" s="1" t="s">
        <v>339</v>
      </c>
      <c r="O4" s="1" t="s">
        <v>340</v>
      </c>
      <c r="P4" s="1" t="s">
        <v>27</v>
      </c>
    </row>
    <row r="5" spans="1:16" ht="42" customHeight="1">
      <c r="A5" s="1" t="s">
        <v>283</v>
      </c>
      <c r="B5" s="1" t="s">
        <v>23</v>
      </c>
      <c r="C5" s="1" t="s">
        <v>24</v>
      </c>
      <c r="D5" s="1" t="s">
        <v>25</v>
      </c>
      <c r="E5" s="1" t="s">
        <v>57</v>
      </c>
      <c r="F5" s="1" t="s">
        <v>90</v>
      </c>
      <c r="G5" s="1" t="s">
        <v>112</v>
      </c>
      <c r="H5" s="1" t="s">
        <v>119</v>
      </c>
      <c r="I5" s="1" t="s">
        <v>341</v>
      </c>
      <c r="J5" s="1" t="s">
        <v>342</v>
      </c>
      <c r="K5" s="1" t="s">
        <v>99</v>
      </c>
      <c r="L5" s="1" t="s">
        <v>47</v>
      </c>
      <c r="M5" s="1" t="s">
        <v>282</v>
      </c>
      <c r="N5" s="1" t="s">
        <v>343</v>
      </c>
      <c r="O5" s="1" t="s">
        <v>344</v>
      </c>
      <c r="P5" s="1" t="s">
        <v>27</v>
      </c>
    </row>
    <row r="6" spans="1:16" ht="42" customHeight="1">
      <c r="A6" s="1" t="s">
        <v>102</v>
      </c>
      <c r="B6" s="1" t="s">
        <v>23</v>
      </c>
      <c r="C6" s="1" t="s">
        <v>24</v>
      </c>
      <c r="D6" s="1" t="s">
        <v>25</v>
      </c>
      <c r="E6" s="1" t="s">
        <v>57</v>
      </c>
      <c r="F6" s="1" t="s">
        <v>90</v>
      </c>
      <c r="G6" s="1" t="s">
        <v>96</v>
      </c>
      <c r="H6" s="1" t="s">
        <v>119</v>
      </c>
      <c r="I6" s="1" t="s">
        <v>345</v>
      </c>
      <c r="J6" s="1" t="s">
        <v>346</v>
      </c>
      <c r="K6" s="1" t="s">
        <v>99</v>
      </c>
      <c r="L6" s="1" t="s">
        <v>47</v>
      </c>
      <c r="M6" s="1" t="s">
        <v>100</v>
      </c>
      <c r="N6" s="1" t="s">
        <v>347</v>
      </c>
      <c r="O6" s="1" t="s">
        <v>348</v>
      </c>
      <c r="P6" s="1" t="s">
        <v>27</v>
      </c>
    </row>
    <row r="7" spans="1:16" ht="42" customHeight="1">
      <c r="A7" s="1" t="s">
        <v>148</v>
      </c>
      <c r="B7" s="1" t="s">
        <v>28</v>
      </c>
      <c r="C7" s="1" t="s">
        <v>29</v>
      </c>
      <c r="D7" s="1" t="s">
        <v>30</v>
      </c>
      <c r="E7" s="1" t="s">
        <v>57</v>
      </c>
      <c r="F7" s="1" t="s">
        <v>288</v>
      </c>
      <c r="G7" s="1" t="s">
        <v>142</v>
      </c>
      <c r="H7" s="1" t="s">
        <v>179</v>
      </c>
      <c r="I7" s="1" t="s">
        <v>349</v>
      </c>
      <c r="J7" s="1" t="s">
        <v>350</v>
      </c>
      <c r="K7" s="1" t="s">
        <v>145</v>
      </c>
      <c r="L7" s="1" t="s">
        <v>45</v>
      </c>
      <c r="M7" s="1" t="s">
        <v>146</v>
      </c>
      <c r="N7" s="1" t="s">
        <v>351</v>
      </c>
      <c r="O7" s="1" t="s">
        <v>352</v>
      </c>
      <c r="P7" s="1" t="s">
        <v>32</v>
      </c>
    </row>
    <row r="8" spans="1:16" ht="42" customHeight="1">
      <c r="A8" s="1" t="s">
        <v>156</v>
      </c>
      <c r="B8" s="1" t="s">
        <v>28</v>
      </c>
      <c r="C8" s="1" t="s">
        <v>29</v>
      </c>
      <c r="D8" s="1" t="s">
        <v>30</v>
      </c>
      <c r="E8" s="1" t="s">
        <v>57</v>
      </c>
      <c r="F8" s="1" t="s">
        <v>90</v>
      </c>
      <c r="G8" s="1" t="s">
        <v>151</v>
      </c>
      <c r="H8" s="1" t="s">
        <v>190</v>
      </c>
      <c r="I8" s="1" t="s">
        <v>353</v>
      </c>
      <c r="J8" s="1" t="s">
        <v>354</v>
      </c>
      <c r="K8" s="1" t="s">
        <v>153</v>
      </c>
      <c r="L8" s="1" t="s">
        <v>43</v>
      </c>
      <c r="M8" s="1" t="s">
        <v>154</v>
      </c>
      <c r="N8" s="1" t="s">
        <v>355</v>
      </c>
      <c r="O8" s="1" t="s">
        <v>356</v>
      </c>
      <c r="P8" s="1" t="s">
        <v>32</v>
      </c>
    </row>
    <row r="9" spans="1:16" ht="42" customHeight="1">
      <c r="A9" s="1" t="s">
        <v>163</v>
      </c>
      <c r="B9" s="1" t="s">
        <v>28</v>
      </c>
      <c r="C9" s="1" t="s">
        <v>29</v>
      </c>
      <c r="D9" s="1" t="s">
        <v>30</v>
      </c>
      <c r="E9" s="1" t="s">
        <v>57</v>
      </c>
      <c r="F9" s="1" t="s">
        <v>288</v>
      </c>
      <c r="G9" s="1" t="s">
        <v>159</v>
      </c>
      <c r="H9" s="1" t="s">
        <v>295</v>
      </c>
      <c r="I9" s="1" t="s">
        <v>357</v>
      </c>
      <c r="J9" s="1" t="s">
        <v>358</v>
      </c>
      <c r="K9" s="1" t="s">
        <v>145</v>
      </c>
      <c r="L9" s="1" t="s">
        <v>47</v>
      </c>
      <c r="M9" s="1" t="s">
        <v>294</v>
      </c>
      <c r="N9" s="1" t="s">
        <v>359</v>
      </c>
      <c r="O9" s="1" t="s">
        <v>360</v>
      </c>
      <c r="P9" s="1" t="s">
        <v>32</v>
      </c>
    </row>
    <row r="10" spans="1:16" ht="42" customHeight="1">
      <c r="A10" s="1" t="s">
        <v>361</v>
      </c>
      <c r="B10" s="1" t="s">
        <v>28</v>
      </c>
      <c r="C10" s="1" t="s">
        <v>29</v>
      </c>
      <c r="D10" s="1" t="s">
        <v>30</v>
      </c>
      <c r="E10" s="1" t="s">
        <v>58</v>
      </c>
      <c r="F10" s="1" t="s">
        <v>288</v>
      </c>
      <c r="G10" s="1"/>
      <c r="H10" s="1" t="s">
        <v>179</v>
      </c>
      <c r="I10" s="1" t="s">
        <v>362</v>
      </c>
      <c r="J10" s="1"/>
      <c r="K10" s="1" t="s">
        <v>327</v>
      </c>
      <c r="L10" s="1" t="s">
        <v>327</v>
      </c>
      <c r="M10" s="1" t="s">
        <v>363</v>
      </c>
      <c r="N10" s="1" t="s">
        <v>364</v>
      </c>
      <c r="O10" s="1" t="s">
        <v>365</v>
      </c>
      <c r="P10" s="1" t="s">
        <v>32</v>
      </c>
    </row>
    <row r="11" spans="1:16" ht="42" customHeight="1">
      <c r="A11" s="1" t="s">
        <v>201</v>
      </c>
      <c r="B11" s="1" t="s">
        <v>28</v>
      </c>
      <c r="C11" s="1" t="s">
        <v>29</v>
      </c>
      <c r="D11" s="1" t="s">
        <v>30</v>
      </c>
      <c r="E11" s="1" t="s">
        <v>58</v>
      </c>
      <c r="F11" s="1" t="s">
        <v>136</v>
      </c>
      <c r="G11" s="1"/>
      <c r="H11" s="1" t="s">
        <v>366</v>
      </c>
      <c r="I11" s="1" t="s">
        <v>367</v>
      </c>
      <c r="J11" s="1"/>
      <c r="K11" s="1" t="s">
        <v>327</v>
      </c>
      <c r="L11" s="1" t="s">
        <v>327</v>
      </c>
      <c r="M11" s="1" t="s">
        <v>368</v>
      </c>
      <c r="N11" s="1" t="s">
        <v>369</v>
      </c>
      <c r="O11" s="1" t="s">
        <v>370</v>
      </c>
      <c r="P11" s="1" t="s">
        <v>32</v>
      </c>
    </row>
    <row r="12" spans="1:16" ht="42" customHeight="1">
      <c r="A12" s="1" t="s">
        <v>196</v>
      </c>
      <c r="B12" s="1" t="s">
        <v>28</v>
      </c>
      <c r="C12" s="1" t="s">
        <v>29</v>
      </c>
      <c r="D12" s="1" t="s">
        <v>30</v>
      </c>
      <c r="E12" s="1" t="s">
        <v>58</v>
      </c>
      <c r="F12" s="1" t="s">
        <v>90</v>
      </c>
      <c r="G12" s="1"/>
      <c r="H12" s="1" t="s">
        <v>193</v>
      </c>
      <c r="I12" s="1" t="s">
        <v>371</v>
      </c>
      <c r="J12" s="1"/>
      <c r="K12" s="1" t="s">
        <v>327</v>
      </c>
      <c r="L12" s="1" t="s">
        <v>327</v>
      </c>
      <c r="M12" s="1" t="s">
        <v>372</v>
      </c>
      <c r="N12" s="1" t="s">
        <v>373</v>
      </c>
      <c r="O12" s="1" t="s">
        <v>374</v>
      </c>
      <c r="P12" s="1" t="s">
        <v>32</v>
      </c>
    </row>
    <row r="13" spans="1:16" ht="42" customHeight="1">
      <c r="A13" s="1" t="s">
        <v>208</v>
      </c>
      <c r="B13" s="1" t="s">
        <v>28</v>
      </c>
      <c r="C13" s="1" t="s">
        <v>29</v>
      </c>
      <c r="D13" s="1" t="s">
        <v>30</v>
      </c>
      <c r="E13" s="1" t="s">
        <v>58</v>
      </c>
      <c r="F13" s="1" t="s">
        <v>90</v>
      </c>
      <c r="G13" s="1"/>
      <c r="H13" s="1" t="s">
        <v>204</v>
      </c>
      <c r="I13" s="1" t="s">
        <v>375</v>
      </c>
      <c r="J13" s="1"/>
      <c r="K13" s="1" t="s">
        <v>327</v>
      </c>
      <c r="L13" s="1" t="s">
        <v>327</v>
      </c>
      <c r="M13" s="1" t="s">
        <v>376</v>
      </c>
      <c r="N13" s="1" t="s">
        <v>209</v>
      </c>
      <c r="O13" s="1" t="s">
        <v>377</v>
      </c>
      <c r="P13" s="1" t="s">
        <v>32</v>
      </c>
    </row>
    <row r="14" spans="1:16" ht="42" customHeight="1">
      <c r="A14" s="1" t="s">
        <v>168</v>
      </c>
      <c r="B14" s="1" t="s">
        <v>28</v>
      </c>
      <c r="C14" s="1" t="s">
        <v>29</v>
      </c>
      <c r="D14" s="1" t="s">
        <v>30</v>
      </c>
      <c r="E14" s="1" t="s">
        <v>57</v>
      </c>
      <c r="F14" s="1" t="s">
        <v>90</v>
      </c>
      <c r="G14" s="1" t="s">
        <v>166</v>
      </c>
      <c r="H14" s="1" t="s">
        <v>179</v>
      </c>
      <c r="I14" s="1" t="s">
        <v>378</v>
      </c>
      <c r="J14" s="1" t="s">
        <v>379</v>
      </c>
      <c r="K14" s="1" t="s">
        <v>99</v>
      </c>
      <c r="L14" s="1" t="s">
        <v>47</v>
      </c>
      <c r="M14" s="1" t="s">
        <v>100</v>
      </c>
      <c r="N14" s="1" t="s">
        <v>380</v>
      </c>
      <c r="O14" s="1" t="s">
        <v>381</v>
      </c>
      <c r="P14" s="1" t="s">
        <v>32</v>
      </c>
    </row>
    <row r="15" spans="1:16" ht="42" customHeight="1">
      <c r="A15" s="1" t="s">
        <v>176</v>
      </c>
      <c r="B15" s="1" t="s">
        <v>28</v>
      </c>
      <c r="C15" s="1" t="s">
        <v>29</v>
      </c>
      <c r="D15" s="1" t="s">
        <v>30</v>
      </c>
      <c r="E15" s="1" t="s">
        <v>57</v>
      </c>
      <c r="F15" s="1" t="s">
        <v>90</v>
      </c>
      <c r="G15" s="1" t="s">
        <v>171</v>
      </c>
      <c r="H15" s="1" t="s">
        <v>301</v>
      </c>
      <c r="I15" s="1" t="s">
        <v>382</v>
      </c>
      <c r="J15" s="1" t="s">
        <v>383</v>
      </c>
      <c r="K15" s="1" t="s">
        <v>99</v>
      </c>
      <c r="L15" s="1" t="s">
        <v>47</v>
      </c>
      <c r="M15" s="1" t="s">
        <v>174</v>
      </c>
      <c r="N15" s="1" t="s">
        <v>177</v>
      </c>
      <c r="O15" s="1" t="s">
        <v>384</v>
      </c>
      <c r="P15" s="1" t="s">
        <v>32</v>
      </c>
    </row>
    <row r="16" spans="1:16" ht="42" customHeight="1">
      <c r="A16" s="1" t="s">
        <v>385</v>
      </c>
      <c r="B16" s="1" t="s">
        <v>33</v>
      </c>
      <c r="C16" s="1" t="s">
        <v>34</v>
      </c>
      <c r="D16" s="1" t="s">
        <v>35</v>
      </c>
      <c r="E16" s="1" t="s">
        <v>58</v>
      </c>
      <c r="F16" s="1" t="s">
        <v>305</v>
      </c>
      <c r="G16" s="1"/>
      <c r="H16" s="1" t="s">
        <v>306</v>
      </c>
      <c r="I16" s="1" t="s">
        <v>386</v>
      </c>
      <c r="J16" s="1"/>
      <c r="K16" s="1" t="s">
        <v>327</v>
      </c>
      <c r="L16" s="1" t="s">
        <v>327</v>
      </c>
      <c r="M16" s="1" t="s">
        <v>387</v>
      </c>
      <c r="N16" s="1" t="s">
        <v>388</v>
      </c>
      <c r="O16" s="1" t="s">
        <v>389</v>
      </c>
      <c r="P16" s="1" t="s">
        <v>37</v>
      </c>
    </row>
    <row r="17" spans="1:16" ht="42" customHeight="1">
      <c r="A17" s="1" t="s">
        <v>224</v>
      </c>
      <c r="B17" s="1" t="s">
        <v>33</v>
      </c>
      <c r="C17" s="1" t="s">
        <v>34</v>
      </c>
      <c r="D17" s="1" t="s">
        <v>35</v>
      </c>
      <c r="E17" s="1" t="s">
        <v>57</v>
      </c>
      <c r="F17" s="1" t="s">
        <v>305</v>
      </c>
      <c r="G17" s="1" t="s">
        <v>159</v>
      </c>
      <c r="H17" s="1" t="s">
        <v>306</v>
      </c>
      <c r="I17" s="1" t="s">
        <v>390</v>
      </c>
      <c r="J17" s="1" t="s">
        <v>391</v>
      </c>
      <c r="K17" s="1" t="s">
        <v>145</v>
      </c>
      <c r="L17" s="1" t="s">
        <v>47</v>
      </c>
      <c r="M17" s="1" t="s">
        <v>294</v>
      </c>
      <c r="N17" s="1" t="s">
        <v>392</v>
      </c>
      <c r="O17" s="1" t="s">
        <v>393</v>
      </c>
      <c r="P17" s="1" t="s">
        <v>37</v>
      </c>
    </row>
    <row r="18" spans="1:16" ht="42" customHeight="1">
      <c r="A18" s="1" t="s">
        <v>256</v>
      </c>
      <c r="B18" s="1" t="s">
        <v>33</v>
      </c>
      <c r="C18" s="1" t="s">
        <v>34</v>
      </c>
      <c r="D18" s="1" t="s">
        <v>35</v>
      </c>
      <c r="E18" s="1" t="s">
        <v>58</v>
      </c>
      <c r="F18" s="1" t="s">
        <v>90</v>
      </c>
      <c r="G18" s="1"/>
      <c r="H18" s="1" t="s">
        <v>394</v>
      </c>
      <c r="I18" s="1" t="s">
        <v>395</v>
      </c>
      <c r="J18" s="1"/>
      <c r="K18" s="1" t="s">
        <v>327</v>
      </c>
      <c r="L18" s="1" t="s">
        <v>327</v>
      </c>
      <c r="M18" s="1" t="s">
        <v>396</v>
      </c>
      <c r="N18" s="1" t="s">
        <v>257</v>
      </c>
      <c r="O18" s="1" t="s">
        <v>397</v>
      </c>
      <c r="P18" s="1" t="s">
        <v>37</v>
      </c>
    </row>
    <row r="19" spans="1:16" ht="42" customHeight="1">
      <c r="A19" s="1" t="s">
        <v>232</v>
      </c>
      <c r="B19" s="1" t="s">
        <v>33</v>
      </c>
      <c r="C19" s="1" t="s">
        <v>34</v>
      </c>
      <c r="D19" s="1" t="s">
        <v>35</v>
      </c>
      <c r="E19" s="1" t="s">
        <v>57</v>
      </c>
      <c r="F19" s="1" t="s">
        <v>136</v>
      </c>
      <c r="G19" s="1" t="s">
        <v>227</v>
      </c>
      <c r="H19" s="1" t="s">
        <v>306</v>
      </c>
      <c r="I19" s="1" t="s">
        <v>398</v>
      </c>
      <c r="J19" s="1" t="s">
        <v>399</v>
      </c>
      <c r="K19" s="1" t="s">
        <v>99</v>
      </c>
      <c r="L19" s="1" t="s">
        <v>41</v>
      </c>
      <c r="M19" s="1" t="s">
        <v>310</v>
      </c>
      <c r="N19" s="1" t="s">
        <v>400</v>
      </c>
      <c r="O19" s="1" t="s">
        <v>401</v>
      </c>
      <c r="P19" s="1" t="s">
        <v>37</v>
      </c>
    </row>
    <row r="20" spans="1:16" ht="42" customHeight="1">
      <c r="A20" s="1" t="s">
        <v>240</v>
      </c>
      <c r="B20" s="1" t="s">
        <v>33</v>
      </c>
      <c r="C20" s="1" t="s">
        <v>34</v>
      </c>
      <c r="D20" s="1" t="s">
        <v>35</v>
      </c>
      <c r="E20" s="1" t="s">
        <v>57</v>
      </c>
      <c r="F20" s="1" t="s">
        <v>136</v>
      </c>
      <c r="G20" s="1" t="s">
        <v>235</v>
      </c>
      <c r="H20" s="1" t="s">
        <v>314</v>
      </c>
      <c r="I20" s="1" t="s">
        <v>402</v>
      </c>
      <c r="J20" s="1" t="s">
        <v>403</v>
      </c>
      <c r="K20" s="1" t="s">
        <v>145</v>
      </c>
      <c r="L20" s="1" t="s">
        <v>43</v>
      </c>
      <c r="M20" s="1" t="s">
        <v>238</v>
      </c>
      <c r="N20" s="1" t="s">
        <v>241</v>
      </c>
      <c r="O20" s="1" t="s">
        <v>404</v>
      </c>
      <c r="P20" s="1" t="s">
        <v>37</v>
      </c>
    </row>
    <row r="21" spans="1:16" ht="42" customHeight="1">
      <c r="A21" s="1" t="s">
        <v>244</v>
      </c>
      <c r="B21" s="1" t="s">
        <v>33</v>
      </c>
      <c r="C21" s="1" t="s">
        <v>34</v>
      </c>
      <c r="D21" s="1" t="s">
        <v>35</v>
      </c>
      <c r="E21" s="1" t="s">
        <v>57</v>
      </c>
      <c r="F21" s="1" t="s">
        <v>90</v>
      </c>
      <c r="G21" s="1" t="s">
        <v>243</v>
      </c>
      <c r="H21" s="1" t="s">
        <v>306</v>
      </c>
      <c r="I21" s="1" t="s">
        <v>405</v>
      </c>
      <c r="J21" s="1" t="s">
        <v>379</v>
      </c>
      <c r="K21" s="1" t="s">
        <v>99</v>
      </c>
      <c r="L21" s="1" t="s">
        <v>47</v>
      </c>
      <c r="M21" s="1" t="s">
        <v>100</v>
      </c>
      <c r="N21" s="1" t="s">
        <v>406</v>
      </c>
      <c r="O21" s="1" t="s">
        <v>407</v>
      </c>
      <c r="P21" s="1" t="s">
        <v>37</v>
      </c>
    </row>
  </sheetData>
  <conditionalFormatting sqref="E2:E21">
    <cfRule type="expression" dxfId="1" priority="1">
      <formula>E2="intermediated"</formula>
    </cfRule>
    <cfRule type="expression" dxfId="0" priority="2">
      <formula>E2="direct"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zoomScale="130" zoomScaleNormal="130" workbookViewId="0"/>
  </sheetViews>
  <sheetFormatPr defaultRowHeight="14.25"/>
  <cols>
    <col min="1" max="1" width="20" customWidth="1"/>
    <col min="2" max="2" width="26" customWidth="1"/>
    <col min="3" max="3" width="85" customWidth="1"/>
  </cols>
  <sheetData>
    <row r="1" spans="1:3" ht="33.950000000000003" customHeight="1">
      <c r="A1" s="2" t="s">
        <v>408</v>
      </c>
      <c r="B1" s="2" t="s">
        <v>409</v>
      </c>
      <c r="C1" s="2" t="s">
        <v>410</v>
      </c>
    </row>
    <row r="2" spans="1:3" ht="42" customHeight="1">
      <c r="A2" s="1" t="s">
        <v>411</v>
      </c>
      <c r="B2" s="1" t="s">
        <v>412</v>
      </c>
      <c r="C2" s="1" t="s">
        <v>413</v>
      </c>
    </row>
    <row r="3" spans="1:3" ht="42" customHeight="1">
      <c r="A3" s="1" t="s">
        <v>411</v>
      </c>
      <c r="B3" s="1" t="s">
        <v>414</v>
      </c>
      <c r="C3" s="1" t="s">
        <v>415</v>
      </c>
    </row>
    <row r="4" spans="1:3" ht="42" customHeight="1">
      <c r="A4" s="1" t="s">
        <v>411</v>
      </c>
      <c r="B4" s="1" t="s">
        <v>416</v>
      </c>
      <c r="C4" s="1" t="s">
        <v>417</v>
      </c>
    </row>
    <row r="5" spans="1:3" ht="42" customHeight="1">
      <c r="A5" s="1" t="s">
        <v>411</v>
      </c>
      <c r="B5" s="1" t="s">
        <v>418</v>
      </c>
      <c r="C5" s="1" t="s">
        <v>419</v>
      </c>
    </row>
    <row r="6" spans="1:3" ht="42" customHeight="1">
      <c r="A6" s="1" t="s">
        <v>420</v>
      </c>
      <c r="B6" s="1" t="s">
        <v>75</v>
      </c>
      <c r="C6" s="1" t="s">
        <v>421</v>
      </c>
    </row>
    <row r="7" spans="1:3" ht="42" customHeight="1">
      <c r="A7" s="1" t="s">
        <v>420</v>
      </c>
      <c r="B7" s="1" t="s">
        <v>318</v>
      </c>
      <c r="C7" s="1" t="s">
        <v>422</v>
      </c>
    </row>
    <row r="8" spans="1:3" ht="42" customHeight="1">
      <c r="A8" s="1" t="s">
        <v>420</v>
      </c>
      <c r="B8" s="1" t="s">
        <v>76</v>
      </c>
      <c r="C8" s="1" t="s">
        <v>423</v>
      </c>
    </row>
    <row r="9" spans="1:3" ht="42" customHeight="1">
      <c r="A9" s="1" t="s">
        <v>420</v>
      </c>
      <c r="B9" s="1" t="s">
        <v>265</v>
      </c>
      <c r="C9" s="1" t="s">
        <v>424</v>
      </c>
    </row>
    <row r="10" spans="1:3" ht="42" customHeight="1">
      <c r="A10" s="1" t="s">
        <v>420</v>
      </c>
      <c r="B10" s="1" t="s">
        <v>266</v>
      </c>
      <c r="C10" s="1" t="s">
        <v>425</v>
      </c>
    </row>
    <row r="11" spans="1:3" ht="42" customHeight="1">
      <c r="A11" s="1" t="s">
        <v>426</v>
      </c>
      <c r="B11" s="1" t="s">
        <v>323</v>
      </c>
      <c r="C11" s="1" t="s">
        <v>427</v>
      </c>
    </row>
    <row r="12" spans="1:3" ht="42" customHeight="1">
      <c r="A12" s="1" t="s">
        <v>426</v>
      </c>
      <c r="B12" s="1" t="s">
        <v>324</v>
      </c>
      <c r="C12" s="1" t="s">
        <v>428</v>
      </c>
    </row>
    <row r="13" spans="1:3" ht="42" customHeight="1">
      <c r="A13" s="1" t="s">
        <v>429</v>
      </c>
      <c r="B13" s="1" t="s">
        <v>430</v>
      </c>
      <c r="C13" s="1" t="s">
        <v>431</v>
      </c>
    </row>
    <row r="14" spans="1:3" ht="42" customHeight="1">
      <c r="A14" s="1" t="s">
        <v>429</v>
      </c>
      <c r="B14" s="1" t="s">
        <v>432</v>
      </c>
      <c r="C14" s="1" t="s">
        <v>433</v>
      </c>
    </row>
    <row r="15" spans="1:3" ht="42" customHeight="1">
      <c r="A15" s="1" t="s">
        <v>429</v>
      </c>
      <c r="B15" s="1" t="s">
        <v>434</v>
      </c>
      <c r="C15" s="1" t="s">
        <v>435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OVERVIEW</vt:lpstr>
      <vt:lpstr>ACT_SUMMARY</vt:lpstr>
      <vt:lpstr>ACTOR_ROLE_MAP</vt:lpstr>
      <vt:lpstr>INTERMEDIARY_MAP</vt:lpstr>
      <vt:lpstr>RELATION_EVIDENCE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Caires</dc:creator>
  <cp:lastModifiedBy>Igor Caires</cp:lastModifiedBy>
  <dcterms:created xsi:type="dcterms:W3CDTF">2026-09-12T13:09:51Z</dcterms:created>
  <dcterms:modified xsi:type="dcterms:W3CDTF">2026-09-12T16:30:56Z</dcterms:modified>
</cp:coreProperties>
</file>